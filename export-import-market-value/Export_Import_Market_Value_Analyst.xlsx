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D:\BELAJAR\DATA ANALYST\"/>
    </mc:Choice>
  </mc:AlternateContent>
  <xr:revisionPtr revIDLastSave="0" documentId="13_ncr:1_{0DC7178E-1EAE-47E3-AC26-C46EBCD031DC}" xr6:coauthVersionLast="38" xr6:coauthVersionMax="47" xr10:uidLastSave="{00000000-0000-0000-0000-000000000000}"/>
  <bookViews>
    <workbookView xWindow="0" yWindow="0" windowWidth="23040" windowHeight="8940" xr2:uid="{00000000-000D-0000-FFFF-FFFF00000000}"/>
  </bookViews>
  <sheets>
    <sheet name="Raw_Data" sheetId="2" r:id="rId1"/>
    <sheet name="Master_Importer" sheetId="3" r:id="rId2"/>
    <sheet name="Master_Country" sheetId="4" r:id="rId3"/>
    <sheet name="Clean" sheetId="5" r:id="rId4"/>
    <sheet name="Output_Template" sheetId="6" r:id="rId5"/>
    <sheet name="top Exporter" sheetId="11" r:id="rId6"/>
    <sheet name="top Importer" sheetId="10" r:id="rId7"/>
  </sheets>
  <calcPr calcId="17902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5" l="1"/>
  <c r="C17" i="6" s="1"/>
  <c r="D17" i="6" s="1"/>
  <c r="I7" i="6"/>
  <c r="I8" i="6"/>
  <c r="I9" i="6"/>
  <c r="I10" i="6"/>
  <c r="I6" i="6"/>
  <c r="H7" i="6"/>
  <c r="H8" i="6"/>
  <c r="H9" i="6"/>
  <c r="H10" i="6"/>
  <c r="H6" i="6"/>
  <c r="C14" i="6"/>
  <c r="D14" i="6" s="1"/>
  <c r="C15" i="6"/>
  <c r="D15" i="6" s="1"/>
  <c r="C16" i="6"/>
  <c r="D16" i="6" s="1"/>
  <c r="C13" i="6"/>
  <c r="D13" i="6" s="1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O149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C8" i="6" l="1"/>
  <c r="C7" i="6"/>
  <c r="B7" i="6"/>
  <c r="B6" i="6"/>
  <c r="B8" i="6"/>
  <c r="C6" i="6"/>
</calcChain>
</file>

<file path=xl/sharedStrings.xml><?xml version="1.0" encoding="utf-8"?>
<sst xmlns="http://schemas.openxmlformats.org/spreadsheetml/2006/main" count="2484" uniqueCount="308">
  <si>
    <t>Shipment ID</t>
  </si>
  <si>
    <t>Import Date</t>
  </si>
  <si>
    <t>Raw Importer Name</t>
  </si>
  <si>
    <t>Exporter Name</t>
  </si>
  <si>
    <t>Country Code</t>
  </si>
  <si>
    <t>HS Code</t>
  </si>
  <si>
    <t>Product Category</t>
  </si>
  <si>
    <t>Quantity (KG)</t>
  </si>
  <si>
    <t>Import Value (USD)</t>
  </si>
  <si>
    <t>TI-2024-0001</t>
  </si>
  <si>
    <t>PT DAYA FABRICS</t>
  </si>
  <si>
    <t>Nippon Loom Systems</t>
  </si>
  <si>
    <t>JPN</t>
  </si>
  <si>
    <t>844520</t>
  </si>
  <si>
    <t>Spinning Machines</t>
  </si>
  <si>
    <t>TI-2024-0002</t>
  </si>
  <si>
    <t>PT. GEMILANG TEXTILE</t>
  </si>
  <si>
    <t>Osaka Textile Machinery</t>
  </si>
  <si>
    <t>844511</t>
  </si>
  <si>
    <t>Carding Machines</t>
  </si>
  <si>
    <t>TI-2024-0003</t>
  </si>
  <si>
    <t>PT GEMILANG TEXTILE</t>
  </si>
  <si>
    <t>Bharat Textile Components</t>
  </si>
  <si>
    <t>IND</t>
  </si>
  <si>
    <t>TI-2024-0004</t>
  </si>
  <si>
    <t>ARUNA TEXTILE PT</t>
  </si>
  <si>
    <t>TI-2024-0005</t>
  </si>
  <si>
    <t>PT EKA TEXTILE</t>
  </si>
  <si>
    <t>Rhein Textile Technik GmbH</t>
  </si>
  <si>
    <t>DEU</t>
  </si>
  <si>
    <t>TI-2024-0006</t>
  </si>
  <si>
    <t>FAJAR KNITTING</t>
  </si>
  <si>
    <t>844849</t>
  </si>
  <si>
    <t>Weaving Machine Parts</t>
  </si>
  <si>
    <t>TI-2024-0007</t>
  </si>
  <si>
    <t>PT. BINTANG WEAVING</t>
  </si>
  <si>
    <t>Anatolia Textile Systems</t>
  </si>
  <si>
    <t>TUR</t>
  </si>
  <si>
    <t>TI-2024-0008</t>
  </si>
  <si>
    <t>TI-2024-0009</t>
  </si>
  <si>
    <t>Mumbai Spinning Tech</t>
  </si>
  <si>
    <t>844831</t>
  </si>
  <si>
    <t>Card Clothing &amp; Parts</t>
  </si>
  <si>
    <t>TI-2024-0010</t>
  </si>
  <si>
    <t>PT. ARUNA TEXTILE</t>
  </si>
  <si>
    <t>844839</t>
  </si>
  <si>
    <t>Other Textile Machinery Parts</t>
  </si>
  <si>
    <t>TI-2024-0011</t>
  </si>
  <si>
    <t>HARMONI SPINNING</t>
  </si>
  <si>
    <t>Jiangsu Textile Parts Ltd.</t>
  </si>
  <si>
    <t>CHN</t>
  </si>
  <si>
    <t>844630</t>
  </si>
  <si>
    <t>Air-Jet Looms</t>
  </si>
  <si>
    <t>TI-2024-0012</t>
  </si>
  <si>
    <t>PT. INDAH WEAVING</t>
  </si>
  <si>
    <t>TI-2024-0013</t>
  </si>
  <si>
    <t>PT. EKA TEXTILE</t>
  </si>
  <si>
    <t>Istanbul Machinery A.S.</t>
  </si>
  <si>
    <t>TI-2024-0014</t>
  </si>
  <si>
    <t>Helvetia Textile Systems</t>
  </si>
  <si>
    <t>CHE</t>
  </si>
  <si>
    <t>TI-2024-0015</t>
  </si>
  <si>
    <t>TI-2024-0016</t>
  </si>
  <si>
    <t>PT INDAH WEAVING</t>
  </si>
  <si>
    <t>TI-2024-0017</t>
  </si>
  <si>
    <t>Bavaria Motion GmbH</t>
  </si>
  <si>
    <t>TI-2024-0018</t>
  </si>
  <si>
    <t>SinoTex Machinery Co.</t>
  </si>
  <si>
    <t>TI-2024-0019</t>
  </si>
  <si>
    <t>PT. HARMONI SPINNING</t>
  </si>
  <si>
    <t>TI-2024-0020</t>
  </si>
  <si>
    <t>TI-2024-0021</t>
  </si>
  <si>
    <t>TI-2024-0022</t>
  </si>
  <si>
    <t>GEMILANG TEXTILE PT</t>
  </si>
  <si>
    <t>TI-2024-0023</t>
  </si>
  <si>
    <t>DAYA FABRICS</t>
  </si>
  <si>
    <t>TI-2024-0024</t>
  </si>
  <si>
    <t>TI-2024-0025</t>
  </si>
  <si>
    <t>PT ARUNA TEXTILE</t>
  </si>
  <si>
    <t>TI-2024-0026</t>
  </si>
  <si>
    <t>TI-2024-0027</t>
  </si>
  <si>
    <t>TI-2024-0028</t>
  </si>
  <si>
    <t>TI-2024-0029</t>
  </si>
  <si>
    <t>TI-2024-0030</t>
  </si>
  <si>
    <t>TI-2024-0031</t>
  </si>
  <si>
    <t>TI-2024-0032</t>
  </si>
  <si>
    <t>TI-2024-0033</t>
  </si>
  <si>
    <t>CITRA SPINNING PT</t>
  </si>
  <si>
    <t>TI-2024-0034</t>
  </si>
  <si>
    <t>PT BINTANG WEAVING</t>
  </si>
  <si>
    <t>TI-2024-0035</t>
  </si>
  <si>
    <t>SwissCard AG</t>
  </si>
  <si>
    <t>TI-2024-0036</t>
  </si>
  <si>
    <t>TI-2024-0037</t>
  </si>
  <si>
    <t>TI-2024-0038</t>
  </si>
  <si>
    <t>TI-2024-0039</t>
  </si>
  <si>
    <t>TI-2024-0040</t>
  </si>
  <si>
    <t>PT HARMONI SPINNING</t>
  </si>
  <si>
    <t>TI-2024-0041</t>
  </si>
  <si>
    <t>PT. DAYA FABRICS</t>
  </si>
  <si>
    <t>TI-2024-0042</t>
  </si>
  <si>
    <t>TI-2024-0043</t>
  </si>
  <si>
    <t>EKA TEXTILE PT</t>
  </si>
  <si>
    <t>TI-2024-0044</t>
  </si>
  <si>
    <t>TI-2024-0045</t>
  </si>
  <si>
    <t>TI-2024-0046</t>
  </si>
  <si>
    <t>BINTANG WEAVING</t>
  </si>
  <si>
    <t>TI-2024-0047</t>
  </si>
  <si>
    <t>PT. CITRA SPINNING</t>
  </si>
  <si>
    <t>TI-2024-0048</t>
  </si>
  <si>
    <t>TI-2024-0049</t>
  </si>
  <si>
    <t>TI-2024-0050</t>
  </si>
  <si>
    <t>PT CITRA SPINNING</t>
  </si>
  <si>
    <t>TI-2024-0051</t>
  </si>
  <si>
    <t>TI-2024-0052</t>
  </si>
  <si>
    <t>TI-2024-0053</t>
  </si>
  <si>
    <t>TI-2024-0054</t>
  </si>
  <si>
    <t>TI-2024-0055</t>
  </si>
  <si>
    <t>TI-2024-0056</t>
  </si>
  <si>
    <t>TI-2024-0057</t>
  </si>
  <si>
    <t>TI-2024-0058</t>
  </si>
  <si>
    <t>TI-2024-0059</t>
  </si>
  <si>
    <t>TI-2024-0060</t>
  </si>
  <si>
    <t>TI-2024-0061</t>
  </si>
  <si>
    <t>TI-2024-0062</t>
  </si>
  <si>
    <t>TI-2024-0063</t>
  </si>
  <si>
    <t>TI-2024-0064</t>
  </si>
  <si>
    <t>TI-2024-0065</t>
  </si>
  <si>
    <t>TI-2024-0066</t>
  </si>
  <si>
    <t>TI-2024-0067</t>
  </si>
  <si>
    <t>TI-2024-0068</t>
  </si>
  <si>
    <t>TI-2024-0069</t>
  </si>
  <si>
    <t>TI-2024-0070</t>
  </si>
  <si>
    <t>TI-2025-0071</t>
  </si>
  <si>
    <t>TI-2025-0072</t>
  </si>
  <si>
    <t>TI-2025-0073</t>
  </si>
  <si>
    <t>TI-2025-0074</t>
  </si>
  <si>
    <t>TI-2025-0075</t>
  </si>
  <si>
    <t>TI-2025-0076</t>
  </si>
  <si>
    <t>TI-2025-0077</t>
  </si>
  <si>
    <t>TI-2025-0078</t>
  </si>
  <si>
    <t>TI-2025-0079</t>
  </si>
  <si>
    <t>TI-2025-0080</t>
  </si>
  <si>
    <t>TI-2025-0081</t>
  </si>
  <si>
    <t>TI-2025-0082</t>
  </si>
  <si>
    <t>TI-2025-0083</t>
  </si>
  <si>
    <t>PT. JAYA TEXTILE</t>
  </si>
  <si>
    <t>TI-2025-0084</t>
  </si>
  <si>
    <t>TI-2025-0085</t>
  </si>
  <si>
    <t>PT FAJAR KNITTING</t>
  </si>
  <si>
    <t>TI-2025-0086</t>
  </si>
  <si>
    <t>TI-2025-0087</t>
  </si>
  <si>
    <t>TI-2025-0088</t>
  </si>
  <si>
    <t>TI-2025-0089</t>
  </si>
  <si>
    <t>TI-2025-0090</t>
  </si>
  <si>
    <t>TI-2025-0091</t>
  </si>
  <si>
    <t>TI-2025-0092</t>
  </si>
  <si>
    <t>TI-2025-0093</t>
  </si>
  <si>
    <t>TI-2025-0094</t>
  </si>
  <si>
    <t>TI-2025-0095</t>
  </si>
  <si>
    <t>TI-2025-0096</t>
  </si>
  <si>
    <t>TI-2025-0097</t>
  </si>
  <si>
    <t>TI-2025-0098</t>
  </si>
  <si>
    <t>TI-2025-0099</t>
  </si>
  <si>
    <t>TI-2025-0100</t>
  </si>
  <si>
    <t>TI-2025-0101</t>
  </si>
  <si>
    <t>TI-2025-0102</t>
  </si>
  <si>
    <t>TI-2025-0103</t>
  </si>
  <si>
    <t>TI-2025-0104</t>
  </si>
  <si>
    <t>TI-2025-0105</t>
  </si>
  <si>
    <t>TI-2025-0106</t>
  </si>
  <si>
    <t>TI-2025-0107</t>
  </si>
  <si>
    <t>TI-2025-0108</t>
  </si>
  <si>
    <t>TI-2025-0109</t>
  </si>
  <si>
    <t>TI-2025-0110</t>
  </si>
  <si>
    <t>TI-2025-0111</t>
  </si>
  <si>
    <t>TI-2025-0112</t>
  </si>
  <si>
    <t>TI-2025-0113</t>
  </si>
  <si>
    <t>TI-2025-0114</t>
  </si>
  <si>
    <t>TI-2025-0115</t>
  </si>
  <si>
    <t>TI-2025-0116</t>
  </si>
  <si>
    <t>TI-2025-0117</t>
  </si>
  <si>
    <t>TI-2025-0118</t>
  </si>
  <si>
    <t>TI-2025-0119</t>
  </si>
  <si>
    <t>TI-2025-0120</t>
  </si>
  <si>
    <t>TI-2025-0121</t>
  </si>
  <si>
    <t>TI-2025-0122</t>
  </si>
  <si>
    <t>TI-2025-0123</t>
  </si>
  <si>
    <t>TI-2025-0124</t>
  </si>
  <si>
    <t>TI-2025-0125</t>
  </si>
  <si>
    <t>TI-2025-0126</t>
  </si>
  <si>
    <t>TI-2025-0127</t>
  </si>
  <si>
    <t>TI-2025-0128</t>
  </si>
  <si>
    <t>TI-2025-0129</t>
  </si>
  <si>
    <t>TI-2025-0130</t>
  </si>
  <si>
    <t>TI-2025-0131</t>
  </si>
  <si>
    <t>TI-2025-0132</t>
  </si>
  <si>
    <t>TI-2025-0133</t>
  </si>
  <si>
    <t>TI-2025-0134</t>
  </si>
  <si>
    <t>TI-2025-0135</t>
  </si>
  <si>
    <t>TI-2025-0136</t>
  </si>
  <si>
    <t>TI-2025-0137</t>
  </si>
  <si>
    <t>TI-2025-0138</t>
  </si>
  <si>
    <t>TI-2025-0139</t>
  </si>
  <si>
    <t>PT JAYA TEXTILE</t>
  </si>
  <si>
    <t>TI-2025-0140</t>
  </si>
  <si>
    <t>TI-2026-0141</t>
  </si>
  <si>
    <t>TI-2026-0142</t>
  </si>
  <si>
    <t>TI-2026-0143</t>
  </si>
  <si>
    <t>TI-2026-0144</t>
  </si>
  <si>
    <t>TI-2026-0145</t>
  </si>
  <si>
    <t>TI-2026-0146</t>
  </si>
  <si>
    <t>TI-2026-0147</t>
  </si>
  <si>
    <t>TI-2026-0148</t>
  </si>
  <si>
    <t>PT. ARUNA TEXTILE IND.</t>
  </si>
  <si>
    <t>TI-2026-0149</t>
  </si>
  <si>
    <t>TI-2026-0150</t>
  </si>
  <si>
    <t>TI-2026-0151</t>
  </si>
  <si>
    <t>TI-2026-0152</t>
  </si>
  <si>
    <t>TI-2026-0153</t>
  </si>
  <si>
    <t>TI-2026-0154</t>
  </si>
  <si>
    <t>TI-2026-0155</t>
  </si>
  <si>
    <t>TI-2026-0156</t>
  </si>
  <si>
    <t>TI-2026-0157</t>
  </si>
  <si>
    <t>TI-2026-0158</t>
  </si>
  <si>
    <t>TI-2026-0159</t>
  </si>
  <si>
    <t>TI-2026-0160</t>
  </si>
  <si>
    <t>TI-2026-0161</t>
  </si>
  <si>
    <t>TI-2026-0162</t>
  </si>
  <si>
    <t>TI-2026-0163</t>
  </si>
  <si>
    <t>TI-2026-0164</t>
  </si>
  <si>
    <t>TI-2026-0165</t>
  </si>
  <si>
    <t>TI-2026-0166</t>
  </si>
  <si>
    <t>TI-2026-0167</t>
  </si>
  <si>
    <t>TI-2026-0168</t>
  </si>
  <si>
    <t>TI-2026-0169</t>
  </si>
  <si>
    <t>TI-2026-0170</t>
  </si>
  <si>
    <t>TI-2026-0171</t>
  </si>
  <si>
    <t>PT. FAJAR KNITTING</t>
  </si>
  <si>
    <t>TI-2026-0172</t>
  </si>
  <si>
    <t>TI-2026-0173</t>
  </si>
  <si>
    <t>TI-2026-0174</t>
  </si>
  <si>
    <t>TI-2026-0175</t>
  </si>
  <si>
    <t>TI-2026-0176</t>
  </si>
  <si>
    <t>TI-2026-0177</t>
  </si>
  <si>
    <t>TI-2026-0178</t>
  </si>
  <si>
    <t>TI-2026-0179</t>
  </si>
  <si>
    <t>TI-2026-0180</t>
  </si>
  <si>
    <t>TI-2026-0181</t>
  </si>
  <si>
    <t>TI-2026-0182</t>
  </si>
  <si>
    <t>TI-2026-0183</t>
  </si>
  <si>
    <t>TI-2026-0184</t>
  </si>
  <si>
    <t>TI-2026-0185</t>
  </si>
  <si>
    <t>TI-2026-0186</t>
  </si>
  <si>
    <t>TI-2026-0187</t>
  </si>
  <si>
    <t>TI-2026-0188</t>
  </si>
  <si>
    <t>TI-2026-0189</t>
  </si>
  <si>
    <t>TI-2026-0190</t>
  </si>
  <si>
    <t>Standard Importer</t>
  </si>
  <si>
    <t>PT Aruna Textile</t>
  </si>
  <si>
    <t>PT Bintang Weaving</t>
  </si>
  <si>
    <t>PT Citra Spinning</t>
  </si>
  <si>
    <t>PT Daya Fabrics</t>
  </si>
  <si>
    <t>PT Eka Textile</t>
  </si>
  <si>
    <t>PT Fajar Knitting</t>
  </si>
  <si>
    <t>PT Gemilang Textile</t>
  </si>
  <si>
    <t>PT Harmoni Spinning</t>
  </si>
  <si>
    <t>PT Indah Weaving</t>
  </si>
  <si>
    <t>INDAH WEAVING PT</t>
  </si>
  <si>
    <t>PT Jaya Textile</t>
  </si>
  <si>
    <t>JAYA TEXTILE</t>
  </si>
  <si>
    <t>Country Name</t>
  </si>
  <si>
    <t>China</t>
  </si>
  <si>
    <t>Japan</t>
  </si>
  <si>
    <t>Germany</t>
  </si>
  <si>
    <t>Switzerland</t>
  </si>
  <si>
    <t>India</t>
  </si>
  <si>
    <t>Türkiye</t>
  </si>
  <si>
    <t>Year</t>
  </si>
  <si>
    <t>Month</t>
  </si>
  <si>
    <t>Unit Value (USD/KG)</t>
  </si>
  <si>
    <t>Data Quality Flag</t>
  </si>
  <si>
    <t>OUTPUT TEMPLATE – MARKET ANALYSIS</t>
  </si>
  <si>
    <t>1. Trend Summary</t>
  </si>
  <si>
    <t>3. Top 5 Exporter – 2026 YTD</t>
  </si>
  <si>
    <t>Total Import Value (USD)</t>
  </si>
  <si>
    <t>Total Quantity (KG)</t>
  </si>
  <si>
    <t>Notes</t>
  </si>
  <si>
    <t>Rank</t>
  </si>
  <si>
    <t>2026 = YTD s.d. Agustus</t>
  </si>
  <si>
    <t>2. Top 5 Importer – 2026 YTD</t>
  </si>
  <si>
    <t>Market Share (%)</t>
  </si>
  <si>
    <t>4. Key Insights</t>
  </si>
  <si>
    <t>Insight 1</t>
  </si>
  <si>
    <t>Insight 2</t>
  </si>
  <si>
    <t>Insight 3</t>
  </si>
  <si>
    <t>5. AI/Codex Prompt for Validation</t>
  </si>
  <si>
    <t>6. Chart</t>
  </si>
  <si>
    <t>Insert at least 1 relevant chart in this area.</t>
  </si>
  <si>
    <t>Top Importer</t>
  </si>
  <si>
    <t>Top Exporter</t>
  </si>
  <si>
    <t>Row Labels</t>
  </si>
  <si>
    <t>Grand Total</t>
  </si>
  <si>
    <t>Sum of Import Value (USD)</t>
  </si>
  <si>
    <t xml:space="preserve">Pada tahun 2026 terlihat bahwa total import value mencapai 3,4 juta dolar di bulan ke 8 jika penjualan terus terjadi dan ritme yang sama pada sebelumnya maka total import value bisa melebihi tahun sebelumnya sehingga terjadi peningkatan </t>
  </si>
  <si>
    <t xml:space="preserve">Market share tertinggi pada tahun 2026 dengan import value mencapai 789juta dolar dari PT Citra Spinning </t>
  </si>
  <si>
    <t>Exporter dengan quantity tertinggi oleh Sino Tex Machinery Co. mencapai 14.341 kg</t>
  </si>
  <si>
    <t xml:space="preserve">Anda bertindak sebagai seorang analisis tren dan pangsa pasar profesional, lakukan validasi data Importer dan Exporter ini berdasarkan trend summary dan top 5 Importer dan Exporter tahun 2026, lakukan validasi dan pengecekan berdasarkan tabel di sheet work_Area dan cek apakah sheet tersebut sudah clean dan benar benar diolah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</si>
</sst>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dd\-mmm\-yyyy"/>
    <numFmt numFmtId="165" formatCode="\$#,##0.00"/>
    <numFmt numFmtId="166" formatCode="&quot;$&quot;#,##0.00"/>
  </numFmts>
  <fonts count="8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i/>
      <sz val="11"/>
      <name val="Carlito"/>
    </font>
    <font>
      <i/>
      <sz val="11"/>
      <color rgb="FF666666"/>
      <name val="Carlito"/>
    </font>
    <font>
      <sz val="11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C000"/>
      </patternFill>
    </fill>
    <fill>
      <patternFill patternType="solid">
        <fgColor rgb="FFFFFBEA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6" fillId="0" borderId="1"/>
    <xf numFmtId="44" fontId="6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4" borderId="0" xfId="0" applyFill="1"/>
    <xf numFmtId="165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0" fontId="4" fillId="0" borderId="1" xfId="0" applyFont="1" applyBorder="1" applyAlignment="1">
      <alignment vertical="top" wrapText="1"/>
    </xf>
    <xf numFmtId="2" fontId="0" fillId="4" borderId="0" xfId="0" applyNumberFormat="1" applyFill="1"/>
    <xf numFmtId="0" fontId="2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4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2" xfId="0" applyFont="1" applyFill="1" applyBorder="1" applyAlignment="1">
      <alignment horizontal="left"/>
    </xf>
    <xf numFmtId="166" fontId="0" fillId="0" borderId="1" xfId="2" applyNumberFormat="1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9"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Output_Template!$B$5</c:f>
              <c:strCache>
                <c:ptCount val="1"/>
                <c:pt idx="0">
                  <c:v>Total Import Value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Output_Template!$A$6:$A$8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Output_Template!$B$6:$B$8</c:f>
              <c:numCache>
                <c:formatCode>\$#,##0.00</c:formatCode>
                <c:ptCount val="3"/>
                <c:pt idx="0">
                  <c:v>5117138.54</c:v>
                </c:pt>
                <c:pt idx="1">
                  <c:v>5038674.080000001</c:v>
                </c:pt>
                <c:pt idx="2">
                  <c:v>3467048.0900000008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7-417C-A153-30F3771CF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727887"/>
        <c:axId val="936719103"/>
      </c:barChart>
      <c:catAx>
        <c:axId val="104072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36719103"/>
        <c:crosses val="autoZero"/>
        <c:auto val="1"/>
        <c:lblAlgn val="ctr"/>
        <c:lblOffset val="100"/>
        <c:noMultiLvlLbl val="0"/>
      </c:catAx>
      <c:valAx>
        <c:axId val="9367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407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Importer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Output_Template!$B$13:$B$17</c:f>
              <c:strCache>
                <c:ptCount val="5"/>
                <c:pt idx="0">
                  <c:v>PT Aruna Textile</c:v>
                </c:pt>
                <c:pt idx="1">
                  <c:v>PT Bintang Weaving</c:v>
                </c:pt>
                <c:pt idx="2">
                  <c:v>PT Citra Spinning</c:v>
                </c:pt>
                <c:pt idx="3">
                  <c:v>PT Gemilang Textile</c:v>
                </c:pt>
                <c:pt idx="4">
                  <c:v>PT Harmoni Spinning</c:v>
                </c:pt>
              </c:strCache>
            </c:strRef>
          </c:cat>
          <c:val>
            <c:numRef>
              <c:f>Output_Template!$C$13:$C$17</c:f>
              <c:numCache>
                <c:formatCode>"$"#,##0.00</c:formatCode>
                <c:ptCount val="5"/>
                <c:pt idx="0">
                  <c:v>680911.29</c:v>
                </c:pt>
                <c:pt idx="1">
                  <c:v>537289.3899999999</c:v>
                </c:pt>
                <c:pt idx="2">
                  <c:v>789774.91999999993</c:v>
                </c:pt>
                <c:pt idx="3">
                  <c:v>325790.08000000002</c:v>
                </c:pt>
                <c:pt idx="4">
                  <c:v>295010.59999999998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7-48FB-8F35-4435640C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268655"/>
        <c:axId val="1180045967"/>
      </c:barChart>
      <c:catAx>
        <c:axId val="83426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0045967"/>
        <c:crosses val="autoZero"/>
        <c:auto val="1"/>
        <c:lblAlgn val="ctr"/>
        <c:lblOffset val="100"/>
        <c:noMultiLvlLbl val="0"/>
      </c:catAx>
      <c:valAx>
        <c:axId val="11800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3426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255133</xdr:colOff>
      <xdr:row>34</xdr:row>
      <xdr:rowOff>148243</xdr:rowOff>
    </xdr:from>
    <xdr:to>
      <xdr:col>2</xdr:col>
      <xdr:colOff>868946</xdr:colOff>
      <xdr:row>44</xdr:row>
      <xdr:rowOff>80209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320F0C-DDFA-4B57-9410-939D08920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1163952</xdr:colOff>
      <xdr:row>35</xdr:row>
      <xdr:rowOff>55248</xdr:rowOff>
    </xdr:from>
    <xdr:to>
      <xdr:col>6</xdr:col>
      <xdr:colOff>999613</xdr:colOff>
      <xdr:row>44</xdr:row>
      <xdr:rowOff>16387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E623C-F5CB-4E1F-ABB1-912B53132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3.647801851854" createdVersion="6" refreshedVersion="6" minRefreshableVersion="3" recordCount="193" xr:uid="{254382EB-34ED-4125-B1ED-4B4D6383866D}">
  <cacheSource type="worksheet">
    <worksheetSource name="WorkAreaTable"/>
  </cacheSource>
  <cacheFields count="17">
    <cacheField name="Shipment ID" numFmtId="0">
      <sharedItems/>
    </cacheField>
    <cacheField name="Import Date" numFmtId="164">
      <sharedItems containsSemiMixedTypes="0" containsNonDate="0" containsDate="1" containsString="0" minDate="2024-01-01T00:00:00" maxDate="2026-08-29T00:00:00"/>
    </cacheField>
    <cacheField name="Raw Importer Name" numFmtId="0">
      <sharedItems/>
    </cacheField>
    <cacheField name="Exporter Name" numFmtId="0">
      <sharedItems count="12">
        <s v="Nippon Loom Systems"/>
        <s v="Osaka Textile Machinery"/>
        <s v="Bharat Textile Components"/>
        <s v="Rhein Textile Technik GmbH"/>
        <s v="Anatolia Textile Systems"/>
        <s v="Mumbai Spinning Tech"/>
        <s v="Jiangsu Textile Parts Ltd."/>
        <s v="Istanbul Machinery A.S."/>
        <s v="Helvetia Textile Systems"/>
        <s v="Bavaria Motion GmbH"/>
        <s v="SinoTex Machinery Co."/>
        <s v="SwissCard AG"/>
      </sharedItems>
    </cacheField>
    <cacheField name="Country Code" numFmtId="0">
      <sharedItems/>
    </cacheField>
    <cacheField name="HS Code" numFmtId="0">
      <sharedItems/>
    </cacheField>
    <cacheField name="Product Category" numFmtId="0">
      <sharedItems/>
    </cacheField>
    <cacheField name="Quantity (KG)" numFmtId="3">
      <sharedItems containsSemiMixedTypes="0" containsString="0" containsNumber="1" containsInteger="1" minValue="0" maxValue="4226"/>
    </cacheField>
    <cacheField name="Import Value (USD)" numFmtId="165">
      <sharedItems containsSemiMixedTypes="0" containsString="0" containsNumber="1" minValue="13262.26" maxValue="265187.5" count="190">
        <n v="62179.86"/>
        <n v="57625.120000000003"/>
        <n v="80071.23"/>
        <n v="47488.45"/>
        <n v="40039.919999999998"/>
        <n v="92132.34"/>
        <n v="27198.97"/>
        <n v="32785.230000000003"/>
        <n v="21876.81"/>
        <n v="54603.61"/>
        <n v="106619.06"/>
        <n v="80876.12"/>
        <n v="14405.31"/>
        <n v="133347.73000000001"/>
        <n v="63182.64"/>
        <n v="54284.53"/>
        <n v="41278.78"/>
        <n v="84059.35"/>
        <n v="47390.78"/>
        <n v="19287.080000000002"/>
        <n v="78583.22"/>
        <n v="20888.490000000002"/>
        <n v="175243.44"/>
        <n v="170400.03"/>
        <n v="52569.47"/>
        <n v="61524.26"/>
        <n v="146816.98000000001"/>
        <n v="139168.12"/>
        <n v="38351.550000000003"/>
        <n v="99026.77"/>
        <n v="81066.13"/>
        <n v="128714.2"/>
        <n v="27536.58"/>
        <n v="81354.66"/>
        <n v="187391.43"/>
        <n v="23685.37"/>
        <n v="79065.990000000005"/>
        <n v="47625.99"/>
        <n v="21307.22"/>
        <n v="64032.52"/>
        <n v="70805.070000000007"/>
        <n v="50211.16"/>
        <n v="249057"/>
        <n v="15617.64"/>
        <n v="77637.009999999995"/>
        <n v="89768"/>
        <n v="126893.98"/>
        <n v="199111.86"/>
        <n v="22382.04"/>
        <n v="32240.13"/>
        <n v="51005.26"/>
        <n v="18343.439999999999"/>
        <n v="51939"/>
        <n v="32196.48"/>
        <n v="146640.69"/>
        <n v="35009.760000000002"/>
        <n v="59319.7"/>
        <n v="135934.9"/>
        <n v="68792.66"/>
        <n v="49326.51"/>
        <n v="79246.850000000006"/>
        <n v="85260.61"/>
        <n v="32321.18"/>
        <n v="29497.31"/>
        <n v="22704.95"/>
        <n v="40951.61"/>
        <n v="41427.379999999997"/>
        <n v="57699.97"/>
        <n v="140715.54999999999"/>
        <n v="72604.72"/>
        <n v="65933.88"/>
        <n v="61029.75"/>
        <n v="49028.97"/>
        <n v="39678.36"/>
        <n v="58832.44"/>
        <n v="48085.78"/>
        <n v="13262.26"/>
        <n v="83160.990000000005"/>
        <n v="85152.6"/>
        <n v="38627.82"/>
        <n v="57939.45"/>
        <n v="130713.06"/>
        <n v="35093.07"/>
        <n v="101627.35"/>
        <n v="55722.74"/>
        <n v="23006.43"/>
        <n v="29557.279999999999"/>
        <n v="91137.23"/>
        <n v="193018.12"/>
        <n v="63184.52"/>
        <n v="112875.01"/>
        <n v="49531.08"/>
        <n v="81975.839999999997"/>
        <n v="65129"/>
        <n v="46966.69"/>
        <n v="67602.210000000006"/>
        <n v="106091.96"/>
        <n v="62059.97"/>
        <n v="82909.31"/>
        <n v="123688.14"/>
        <n v="25354.5"/>
        <n v="39021.42"/>
        <n v="153609.04999999999"/>
        <n v="56144.4"/>
        <n v="62635.76"/>
        <n v="35283.33"/>
        <n v="141817.26999999999"/>
        <n v="145615.94"/>
        <n v="62641.16"/>
        <n v="74577.100000000006"/>
        <n v="94620.19"/>
        <n v="16684.740000000002"/>
        <n v="64642.36"/>
        <n v="56544.79"/>
        <n v="81459.12"/>
        <n v="34431.21"/>
        <n v="58332.83"/>
        <n v="85225.06"/>
        <n v="101446.86"/>
        <n v="34930.949999999997"/>
        <n v="32262.21"/>
        <n v="51211.91"/>
        <n v="28218.47"/>
        <n v="79309.22"/>
        <n v="128142.59"/>
        <n v="26152.59"/>
        <n v="14874.21"/>
        <n v="28423.06"/>
        <n v="66619.520000000004"/>
        <n v="78043.45"/>
        <n v="265187.5"/>
        <n v="44831.11"/>
        <n v="138063.78"/>
        <n v="39276.800000000003"/>
        <n v="30086.78"/>
        <n v="40053.760000000002"/>
        <n v="106327.27"/>
        <n v="89886.24"/>
        <n v="55242.98"/>
        <n v="42729.32"/>
        <n v="76620.58"/>
        <n v="35223.74"/>
        <n v="62476.84"/>
        <n v="105996.43"/>
        <n v="77289.259999999995"/>
        <n v="24250.83"/>
        <n v="53163.46"/>
        <n v="63633.54"/>
        <n v="23912.21"/>
        <n v="50200.73"/>
        <n v="22846.75"/>
        <n v="134224.82999999999"/>
        <n v="31869.24"/>
        <n v="131257.24"/>
        <n v="14753.47"/>
        <n v="135055.07"/>
        <n v="64214.63"/>
        <n v="144915.32"/>
        <n v="37071.15"/>
        <n v="101698.01"/>
        <n v="47920.55"/>
        <n v="68661.740000000005"/>
        <n v="81518.61"/>
        <n v="81884.55"/>
        <n v="74892.759999999995"/>
        <n v="103767.35"/>
        <n v="46772.63"/>
        <n v="209291.95"/>
        <n v="35425.660000000003"/>
        <n v="33208.47"/>
        <n v="66353.13"/>
        <n v="46831.5"/>
        <n v="24493.54"/>
        <n v="47837.33"/>
        <n v="42999.98"/>
        <n v="19169.64"/>
        <n v="53771.11"/>
        <n v="34482.31"/>
        <n v="21570.85"/>
        <n v="31965.35"/>
        <n v="108541.12"/>
        <n v="114526.56"/>
        <n v="95096.36"/>
        <n v="35720.629999999997"/>
        <n v="50304.93"/>
        <n v="54203.17"/>
        <n v="35679.919999999998"/>
        <n v="111287.18"/>
        <n v="155244.26999999999"/>
        <n v="39184.26"/>
      </sharedItems>
    </cacheField>
    <cacheField name="Standard Importer" numFmtId="0">
      <sharedItems count="11">
        <s v="PT Daya Fabrics"/>
        <s v="PT Gemilang Textile"/>
        <s v="PT Aruna Textile"/>
        <s v="PT Eka Textile"/>
        <s v="PT Fajar Knitting"/>
        <s v="PT Bintang Weaving"/>
        <s v="PT Harmoni Spinning"/>
        <s v="PT Indah Weaving"/>
        <s v="PT Citra Spinning"/>
        <s v="PT Jaya Textile"/>
        <s v="Unmapped Importer"/>
      </sharedItems>
    </cacheField>
    <cacheField name="Country Name" numFmtId="0">
      <sharedItems/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onth" numFmtId="0">
      <sharedItems containsSemiMixedTypes="0" containsString="0" containsNumber="1" containsInteger="1" minValue="1" maxValue="12"/>
    </cacheField>
    <cacheField name="Unit Value (USD/KG)" numFmtId="2">
      <sharedItems containsSemiMixedTypes="0" containsString="0" containsNumber="1" minValue="0" maxValue="121.70146856356126"/>
    </cacheField>
    <cacheField name="Data Quality Flag" numFmtId="0">
      <sharedItems/>
    </cacheField>
    <cacheField name="Top Importer" numFmtId="0">
      <sharedItems containsNonDate="0" containsString="0" containsBlank="1"/>
    </cacheField>
    <cacheField name="Top Export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s v="TI-2024-0001"/>
    <d v="2024-02-17T00:00:00"/>
    <s v="PT DAYA FABRICS"/>
    <x v="0"/>
    <s v="JPN"/>
    <s v="844520"/>
    <s v="Spinning Machines"/>
    <n v="1298"/>
    <x v="0"/>
    <x v="0"/>
    <s v="Japan"/>
    <x v="0"/>
    <n v="2"/>
    <n v="47.904360554699537"/>
    <s v="OK"/>
    <m/>
    <m/>
  </r>
  <r>
    <s v="TI-2024-0002"/>
    <d v="2024-01-23T00:00:00"/>
    <s v="PT. GEMILANG TEXTILE"/>
    <x v="1"/>
    <s v="JPN"/>
    <s v="844511"/>
    <s v="Carding Machines"/>
    <n v="1317"/>
    <x v="1"/>
    <x v="1"/>
    <s v="Japan"/>
    <x v="0"/>
    <n v="1"/>
    <n v="43.754836750189824"/>
    <s v="OK"/>
    <m/>
    <m/>
  </r>
  <r>
    <s v="TI-2024-0003"/>
    <d v="2024-11-09T00:00:00"/>
    <s v="PT GEMILANG TEXTILE"/>
    <x v="2"/>
    <s v="IND"/>
    <s v="844511"/>
    <s v="Carding Machines"/>
    <n v="1819"/>
    <x v="2"/>
    <x v="1"/>
    <s v="India"/>
    <x v="0"/>
    <n v="11"/>
    <n v="44.019367784496971"/>
    <s v="OK"/>
    <m/>
    <m/>
  </r>
  <r>
    <s v="TI-2024-0004"/>
    <d v="2024-01-01T00:00:00"/>
    <s v="ARUNA TEXTILE PT"/>
    <x v="0"/>
    <s v="JPN"/>
    <s v="844511"/>
    <s v="Carding Machines"/>
    <n v="826"/>
    <x v="3"/>
    <x v="2"/>
    <s v="Japan"/>
    <x v="0"/>
    <n v="1"/>
    <n v="57.492070217917671"/>
    <s v="OK"/>
    <m/>
    <m/>
  </r>
  <r>
    <s v="TI-2024-0005"/>
    <d v="2024-05-18T00:00:00"/>
    <s v="PT EKA TEXTILE"/>
    <x v="3"/>
    <s v="DEU"/>
    <s v="844520"/>
    <s v="Spinning Machines"/>
    <n v="597"/>
    <x v="4"/>
    <x v="3"/>
    <s v="Germany"/>
    <x v="0"/>
    <n v="5"/>
    <n v="67.068542713567837"/>
    <s v="OK"/>
    <m/>
    <m/>
  </r>
  <r>
    <s v="TI-2024-0006"/>
    <d v="2024-04-30T00:00:00"/>
    <s v="FAJAR KNITTING"/>
    <x v="1"/>
    <s v="JPN"/>
    <s v="844849"/>
    <s v="Weaving Machine Parts"/>
    <n v="1857"/>
    <x v="5"/>
    <x v="4"/>
    <s v="Japan"/>
    <x v="0"/>
    <n v="4"/>
    <n v="49.6135379644588"/>
    <s v="OK"/>
    <m/>
    <m/>
  </r>
  <r>
    <s v="TI-2024-0007"/>
    <d v="2024-10-13T00:00:00"/>
    <s v="PT. BINTANG WEAVING"/>
    <x v="4"/>
    <s v="TUR"/>
    <s v="844849"/>
    <s v="Weaving Machine Parts"/>
    <n v="580"/>
    <x v="6"/>
    <x v="5"/>
    <s v="Türkiye"/>
    <x v="0"/>
    <n v="10"/>
    <n v="46.894775862068968"/>
    <s v="OK"/>
    <m/>
    <m/>
  </r>
  <r>
    <s v="TI-2024-0008"/>
    <d v="2024-03-02T00:00:00"/>
    <s v="ARUNA TEXTILE PT"/>
    <x v="4"/>
    <s v="TUR"/>
    <s v="844849"/>
    <s v="Weaving Machine Parts"/>
    <n v="810"/>
    <x v="7"/>
    <x v="2"/>
    <s v="Türkiye"/>
    <x v="0"/>
    <n v="3"/>
    <n v="40.475592592592598"/>
    <s v="OK"/>
    <m/>
    <m/>
  </r>
  <r>
    <s v="TI-2024-0009"/>
    <d v="2024-01-05T00:00:00"/>
    <s v="FAJAR KNITTING"/>
    <x v="5"/>
    <s v="IND"/>
    <s v="844831"/>
    <s v="Card Clothing &amp; Parts"/>
    <n v="642"/>
    <x v="8"/>
    <x v="4"/>
    <s v="India"/>
    <x v="0"/>
    <n v="1"/>
    <n v="34.076028037383182"/>
    <s v="OK"/>
    <m/>
    <m/>
  </r>
  <r>
    <s v="TI-2024-0010"/>
    <d v="2024-05-17T00:00:00"/>
    <s v="PT. ARUNA TEXTILE"/>
    <x v="1"/>
    <s v="JPN"/>
    <s v="844839"/>
    <s v="Other Textile Machinery Parts"/>
    <n v="1587"/>
    <x v="9"/>
    <x v="2"/>
    <s v="Japan"/>
    <x v="0"/>
    <n v="5"/>
    <n v="34.4068115942029"/>
    <s v="OK"/>
    <m/>
    <m/>
  </r>
  <r>
    <s v="TI-2024-0011"/>
    <d v="2024-06-04T00:00:00"/>
    <s v="HARMONI SPINNING"/>
    <x v="6"/>
    <s v="CHN"/>
    <s v="844630"/>
    <s v="Air-Jet Looms"/>
    <n v="951"/>
    <x v="10"/>
    <x v="6"/>
    <s v="China"/>
    <x v="0"/>
    <n v="6"/>
    <n v="112.11257623554154"/>
    <s v="OK"/>
    <m/>
    <m/>
  </r>
  <r>
    <s v="TI-2024-0012"/>
    <d v="2024-01-02T00:00:00"/>
    <s v="PT. INDAH WEAVING"/>
    <x v="1"/>
    <s v="JPN"/>
    <s v="844520"/>
    <s v="Spinning Machines"/>
    <n v="1119"/>
    <x v="11"/>
    <x v="7"/>
    <s v="Japan"/>
    <x v="0"/>
    <n v="1"/>
    <n v="72.275352993744406"/>
    <s v="OK"/>
    <m/>
    <m/>
  </r>
  <r>
    <s v="TI-2024-0013"/>
    <d v="2024-07-20T00:00:00"/>
    <s v="PT. EKA TEXTILE"/>
    <x v="7"/>
    <s v="TUR"/>
    <s v="844839"/>
    <s v="Other Textile Machinery Parts"/>
    <n v="613"/>
    <x v="12"/>
    <x v="3"/>
    <s v="Türkiye"/>
    <x v="0"/>
    <n v="7"/>
    <n v="23.499690048939641"/>
    <s v="OK"/>
    <m/>
    <m/>
  </r>
  <r>
    <s v="TI-2024-0014"/>
    <d v="2024-06-02T00:00:00"/>
    <s v="PT. BINTANG WEAVING"/>
    <x v="8"/>
    <s v="CHE"/>
    <s v="844630"/>
    <s v="Air-Jet Looms"/>
    <n v="1392"/>
    <x v="13"/>
    <x v="5"/>
    <s v="Switzerland"/>
    <x v="0"/>
    <n v="6"/>
    <n v="95.795783045977018"/>
    <s v="OK"/>
    <m/>
    <m/>
  </r>
  <r>
    <s v="TI-2024-0015"/>
    <d v="2024-04-22T00:00:00"/>
    <s v="HARMONI SPINNING"/>
    <x v="6"/>
    <s v="CHN"/>
    <s v="844511"/>
    <s v="Carding Machines"/>
    <n v="1045"/>
    <x v="14"/>
    <x v="6"/>
    <s v="China"/>
    <x v="0"/>
    <n v="4"/>
    <n v="60.461856459330143"/>
    <s v="OK"/>
    <m/>
    <m/>
  </r>
  <r>
    <s v="TI-2024-0016"/>
    <d v="2024-10-08T00:00:00"/>
    <s v="PT INDAH WEAVING"/>
    <x v="6"/>
    <s v="CHN"/>
    <s v="844831"/>
    <s v="Card Clothing &amp; Parts"/>
    <n v="1410"/>
    <x v="15"/>
    <x v="7"/>
    <s v="China"/>
    <x v="0"/>
    <n v="10"/>
    <n v="38.499666666666663"/>
    <s v="OK"/>
    <m/>
    <m/>
  </r>
  <r>
    <s v="TI-2024-0017"/>
    <d v="2024-08-14T00:00:00"/>
    <s v="PT. GEMILANG TEXTILE"/>
    <x v="9"/>
    <s v="DEU"/>
    <s v="844839"/>
    <s v="Other Textile Machinery Parts"/>
    <n v="1704"/>
    <x v="16"/>
    <x v="1"/>
    <s v="Germany"/>
    <x v="0"/>
    <n v="8"/>
    <n v="24.22463615023474"/>
    <s v="OK"/>
    <m/>
    <m/>
  </r>
  <r>
    <s v="TI-2024-0018"/>
    <d v="2024-04-15T00:00:00"/>
    <s v="HARMONI SPINNING"/>
    <x v="10"/>
    <s v="CHN"/>
    <s v="844511"/>
    <s v="Carding Machines"/>
    <n v="1776"/>
    <x v="17"/>
    <x v="6"/>
    <s v="China"/>
    <x v="0"/>
    <n v="4"/>
    <n v="47.330715090090095"/>
    <s v="OK"/>
    <m/>
    <m/>
  </r>
  <r>
    <s v="TI-2024-0019"/>
    <d v="2024-10-27T00:00:00"/>
    <s v="PT. HARMONI SPINNING"/>
    <x v="9"/>
    <s v="DEU"/>
    <s v="844849"/>
    <s v="Weaving Machine Parts"/>
    <n v="1285"/>
    <x v="18"/>
    <x v="6"/>
    <s v="Germany"/>
    <x v="0"/>
    <n v="10"/>
    <n v="36.879984435797667"/>
    <s v="Duplicate ID"/>
    <m/>
    <m/>
  </r>
  <r>
    <s v="TI-2024-0020"/>
    <d v="2024-11-07T00:00:00"/>
    <s v="PT. EKA TEXTILE"/>
    <x v="1"/>
    <s v="JPN"/>
    <s v="844831"/>
    <s v="Card Clothing &amp; Parts"/>
    <n v="608"/>
    <x v="19"/>
    <x v="3"/>
    <s v="Japan"/>
    <x v="0"/>
    <n v="11"/>
    <n v="31.72217105263158"/>
    <s v="OK"/>
    <m/>
    <m/>
  </r>
  <r>
    <s v="TI-2024-0021"/>
    <d v="2024-01-01T00:00:00"/>
    <s v="PT DAYA FABRICS"/>
    <x v="0"/>
    <s v="JPN"/>
    <s v="844630"/>
    <s v="Air-Jet Looms"/>
    <n v="1032"/>
    <x v="20"/>
    <x v="0"/>
    <s v="Japan"/>
    <x v="0"/>
    <n v="1"/>
    <n v="76.146531007751946"/>
    <s v="OK"/>
    <m/>
    <m/>
  </r>
  <r>
    <s v="TI-2024-0022"/>
    <d v="2024-08-08T00:00:00"/>
    <s v="GEMILANG TEXTILE PT"/>
    <x v="6"/>
    <s v="CHN"/>
    <s v="844839"/>
    <s v="Other Textile Machinery Parts"/>
    <n v="882"/>
    <x v="21"/>
    <x v="1"/>
    <s v="China"/>
    <x v="0"/>
    <n v="8"/>
    <n v="23.683095238095241"/>
    <s v="OK"/>
    <m/>
    <m/>
  </r>
  <r>
    <s v="TI-2024-0023"/>
    <d v="2024-05-09T00:00:00"/>
    <s v="DAYA FABRICS"/>
    <x v="8"/>
    <s v="CHE"/>
    <s v="844630"/>
    <s v="Air-Jet Looms"/>
    <n v="1685"/>
    <x v="22"/>
    <x v="0"/>
    <s v="Switzerland"/>
    <x v="0"/>
    <n v="5"/>
    <n v="104.00204154302671"/>
    <s v="OK"/>
    <m/>
    <m/>
  </r>
  <r>
    <s v="TI-2024-0024"/>
    <d v="2024-10-13T00:00:00"/>
    <s v="PT. ARUNA TEXTILE"/>
    <x v="4"/>
    <s v="TUR"/>
    <s v="844630"/>
    <s v="Air-Jet Looms"/>
    <n v="1729"/>
    <x v="23"/>
    <x v="2"/>
    <s v="Türkiye"/>
    <x v="0"/>
    <n v="10"/>
    <n v="98.554094852515902"/>
    <s v="OK"/>
    <m/>
    <m/>
  </r>
  <r>
    <s v="TI-2024-0025"/>
    <d v="2024-10-03T00:00:00"/>
    <s v="PT ARUNA TEXTILE"/>
    <x v="10"/>
    <s v="CHN"/>
    <s v="844630"/>
    <s v="Air-Jet Looms"/>
    <n v="693"/>
    <x v="24"/>
    <x v="2"/>
    <s v="China"/>
    <x v="0"/>
    <n v="10"/>
    <n v="75.857821067821064"/>
    <s v="OK"/>
    <m/>
    <m/>
  </r>
  <r>
    <s v="TI-2024-0026"/>
    <d v="2024-12-06T00:00:00"/>
    <s v="HARMONI SPINNING"/>
    <x v="8"/>
    <s v="CHE"/>
    <s v="844511"/>
    <s v="Carding Machines"/>
    <n v="0"/>
    <x v="25"/>
    <x v="6"/>
    <s v="Switzerland"/>
    <x v="0"/>
    <n v="12"/>
    <n v="0"/>
    <s v="Quantity 0"/>
    <m/>
    <m/>
  </r>
  <r>
    <s v="TI-2024-0027"/>
    <d v="2024-10-30T00:00:00"/>
    <s v="PT. GEMILANG TEXTILE"/>
    <x v="7"/>
    <s v="TUR"/>
    <s v="844630"/>
    <s v="Air-Jet Looms"/>
    <n v="1790"/>
    <x v="26"/>
    <x v="1"/>
    <s v="Türkiye"/>
    <x v="0"/>
    <n v="10"/>
    <n v="82.020659217877096"/>
    <s v="OK"/>
    <m/>
    <m/>
  </r>
  <r>
    <s v="TI-2024-0028"/>
    <d v="2024-05-02T00:00:00"/>
    <s v="PT ARUNA TEXTILE"/>
    <x v="10"/>
    <s v="CHN"/>
    <s v="844630"/>
    <s v="Air-Jet Looms"/>
    <n v="1404"/>
    <x v="27"/>
    <x v="2"/>
    <s v="China"/>
    <x v="0"/>
    <n v="5"/>
    <n v="99.122592592592596"/>
    <s v="OK"/>
    <m/>
    <m/>
  </r>
  <r>
    <s v="TI-2024-0029"/>
    <d v="2024-10-28T00:00:00"/>
    <s v="DAYA FABRICS"/>
    <x v="7"/>
    <s v="TUR"/>
    <s v="844831"/>
    <s v="Card Clothing &amp; Parts"/>
    <n v="1341"/>
    <x v="28"/>
    <x v="0"/>
    <s v="Türkiye"/>
    <x v="0"/>
    <n v="10"/>
    <n v="28.59921700223714"/>
    <s v="OK"/>
    <m/>
    <m/>
  </r>
  <r>
    <s v="TI-2024-0030"/>
    <d v="2024-07-27T00:00:00"/>
    <s v="PT. EKA TEXTILE"/>
    <x v="3"/>
    <s v="DEU"/>
    <s v="844520"/>
    <s v="Spinning Machines"/>
    <n v="1825"/>
    <x v="29"/>
    <x v="3"/>
    <s v="Germany"/>
    <x v="0"/>
    <n v="7"/>
    <n v="54.26124383561644"/>
    <s v="OK"/>
    <m/>
    <m/>
  </r>
  <r>
    <s v="TI-2024-0031"/>
    <d v="2024-03-16T00:00:00"/>
    <s v="DAYA FABRICS"/>
    <x v="3"/>
    <s v="DEU"/>
    <s v="844511"/>
    <s v="Carding Machines"/>
    <n v="1399"/>
    <x v="30"/>
    <x v="0"/>
    <s v="Germany"/>
    <x v="0"/>
    <n v="3"/>
    <n v="57.945768406004291"/>
    <s v="OK"/>
    <m/>
    <m/>
  </r>
  <r>
    <s v="TI-2024-0032"/>
    <d v="2024-12-22T00:00:00"/>
    <s v="PT. BINTANG WEAVING"/>
    <x v="1"/>
    <s v="JPN"/>
    <s v="844630"/>
    <s v="Air-Jet Looms"/>
    <n v="1153"/>
    <x v="31"/>
    <x v="5"/>
    <s v="Japan"/>
    <x v="0"/>
    <n v="12"/>
    <n v="111.63417172593235"/>
    <s v="OK"/>
    <m/>
    <m/>
  </r>
  <r>
    <s v="TI-2024-0033"/>
    <d v="2024-04-21T00:00:00"/>
    <s v="CITRA SPINNING PT"/>
    <x v="6"/>
    <s v="CHN"/>
    <s v="844831"/>
    <s v="Card Clothing &amp; Parts"/>
    <n v="906"/>
    <x v="32"/>
    <x v="8"/>
    <s v="China"/>
    <x v="0"/>
    <n v="4"/>
    <n v="30.393576158940398"/>
    <s v="OK"/>
    <m/>
    <m/>
  </r>
  <r>
    <s v="TI-2024-0034"/>
    <d v="2024-01-07T00:00:00"/>
    <s v="PT BINTANG WEAVING"/>
    <x v="6"/>
    <s v="CHN"/>
    <s v="844520"/>
    <s v="Spinning Machines"/>
    <n v="1531"/>
    <x v="33"/>
    <x v="5"/>
    <s v="China"/>
    <x v="0"/>
    <n v="1"/>
    <n v="53.138249510124105"/>
    <s v="OK"/>
    <m/>
    <m/>
  </r>
  <r>
    <s v="TI-2024-0035"/>
    <d v="2024-10-20T00:00:00"/>
    <s v="ARUNA TEXTILE PT"/>
    <x v="11"/>
    <s v="CHE"/>
    <s v="844520"/>
    <s v="Spinning Machines"/>
    <n v="2739"/>
    <x v="34"/>
    <x v="2"/>
    <s v="Switzerland"/>
    <x v="0"/>
    <n v="10"/>
    <n v="68.4160021905805"/>
    <s v="OK"/>
    <m/>
    <m/>
  </r>
  <r>
    <s v="TI-2024-0036"/>
    <d v="2024-01-21T00:00:00"/>
    <s v="PT. GEMILANG TEXTILE"/>
    <x v="11"/>
    <s v="CHE"/>
    <s v="844831"/>
    <s v="Card Clothing &amp; Parts"/>
    <n v="883"/>
    <x v="35"/>
    <x v="1"/>
    <s v="Switzerland"/>
    <x v="0"/>
    <n v="1"/>
    <n v="26.823748584371458"/>
    <s v="OK"/>
    <m/>
    <m/>
  </r>
  <r>
    <s v="TI-2024-0037"/>
    <d v="2024-02-10T00:00:00"/>
    <s v="FAJAR KNITTING"/>
    <x v="1"/>
    <s v="JPN"/>
    <s v="844839"/>
    <s v="Other Textile Machinery Parts"/>
    <n v="2553"/>
    <x v="36"/>
    <x v="4"/>
    <s v="Japan"/>
    <x v="0"/>
    <n v="2"/>
    <n v="30.969835487661577"/>
    <s v="OK"/>
    <m/>
    <m/>
  </r>
  <r>
    <s v="TI-2024-0038"/>
    <d v="2024-04-15T00:00:00"/>
    <s v="PT ARUNA TEXTILE"/>
    <x v="6"/>
    <s v="CHN"/>
    <s v="844831"/>
    <s v="Card Clothing &amp; Parts"/>
    <n v="1814"/>
    <x v="37"/>
    <x v="2"/>
    <s v="China"/>
    <x v="0"/>
    <n v="4"/>
    <n v="26.254680264608599"/>
    <s v="OK"/>
    <m/>
    <m/>
  </r>
  <r>
    <s v="TI-2024-0039"/>
    <d v="2024-10-21T00:00:00"/>
    <s v="PT. ARUNA TEXTILE"/>
    <x v="6"/>
    <s v="CHN"/>
    <s v="844839"/>
    <s v="Other Textile Machinery Parts"/>
    <n v="699"/>
    <x v="38"/>
    <x v="2"/>
    <s v="China"/>
    <x v="0"/>
    <n v="10"/>
    <n v="30.482432045779689"/>
    <s v="OK"/>
    <m/>
    <m/>
  </r>
  <r>
    <s v="TI-2024-0040"/>
    <d v="2024-08-30T00:00:00"/>
    <s v="PT HARMONI SPINNING"/>
    <x v="10"/>
    <s v="CHN"/>
    <s v="844511"/>
    <s v="Carding Machines"/>
    <n v="1080"/>
    <x v="39"/>
    <x v="6"/>
    <s v="China"/>
    <x v="0"/>
    <n v="8"/>
    <n v="59.289370370370371"/>
    <s v="OK"/>
    <m/>
    <m/>
  </r>
  <r>
    <s v="TI-2024-0041"/>
    <d v="2024-02-01T00:00:00"/>
    <s v="PT. DAYA FABRICS"/>
    <x v="11"/>
    <s v="CHE"/>
    <s v="844630"/>
    <s v="Air-Jet Looms"/>
    <n v="994"/>
    <x v="40"/>
    <x v="0"/>
    <s v="Switzerland"/>
    <x v="0"/>
    <n v="2"/>
    <n v="71.232464788732401"/>
    <s v="OK"/>
    <m/>
    <m/>
  </r>
  <r>
    <s v="TI-2024-0042"/>
    <d v="2024-03-07T00:00:00"/>
    <s v="PT INDAH WEAVING"/>
    <x v="6"/>
    <s v="CHN"/>
    <s v="844831"/>
    <s v="Card Clothing &amp; Parts"/>
    <n v="1943"/>
    <x v="41"/>
    <x v="7"/>
    <s v="China"/>
    <x v="0"/>
    <n v="3"/>
    <n v="25.842079258878027"/>
    <s v="OK"/>
    <m/>
    <m/>
  </r>
  <r>
    <s v="TI-2024-0043"/>
    <d v="2024-12-25T00:00:00"/>
    <s v="EKA TEXTILE PT"/>
    <x v="2"/>
    <s v="IND"/>
    <s v="844520"/>
    <s v="Spinning Machines"/>
    <n v="3795"/>
    <x v="42"/>
    <x v="3"/>
    <s v="India"/>
    <x v="0"/>
    <n v="12"/>
    <n v="65.627667984189728"/>
    <s v="OK"/>
    <m/>
    <m/>
  </r>
  <r>
    <s v="TI-2024-0044"/>
    <d v="2024-09-08T00:00:00"/>
    <s v="ARUNA TEXTILE PT"/>
    <x v="2"/>
    <s v="IND"/>
    <s v="844831"/>
    <s v="Card Clothing &amp; Parts"/>
    <n v="590"/>
    <x v="43"/>
    <x v="2"/>
    <s v="India"/>
    <x v="0"/>
    <n v="9"/>
    <n v="26.470576271186438"/>
    <s v="OK"/>
    <m/>
    <m/>
  </r>
  <r>
    <s v="TI-2024-0045"/>
    <d v="2024-12-22T00:00:00"/>
    <s v="PT. BINTANG WEAVING"/>
    <x v="10"/>
    <s v="CHN"/>
    <s v="844849"/>
    <s v="Weaving Machine Parts"/>
    <n v="2381"/>
    <x v="44"/>
    <x v="5"/>
    <s v="China"/>
    <x v="0"/>
    <n v="12"/>
    <n v="32.606892062158757"/>
    <s v="OK"/>
    <m/>
    <m/>
  </r>
  <r>
    <s v="TI-2024-0046"/>
    <d v="2024-08-12T00:00:00"/>
    <s v="BINTANG WEAVING"/>
    <x v="5"/>
    <s v="IND"/>
    <s v="844511"/>
    <s v="Carding Machines"/>
    <n v="2175"/>
    <x v="45"/>
    <x v="5"/>
    <s v="India"/>
    <x v="0"/>
    <n v="8"/>
    <n v="41.272643678160918"/>
    <s v="OK"/>
    <m/>
    <m/>
  </r>
  <r>
    <s v="TI-2024-0047"/>
    <d v="2024-01-04T00:00:00"/>
    <s v="PT. CITRA SPINNING"/>
    <x v="8"/>
    <s v="CHE"/>
    <s v="844520"/>
    <s v="Spinning Machines"/>
    <n v="1946"/>
    <x v="46"/>
    <x v="8"/>
    <s v="Switzerland"/>
    <x v="0"/>
    <n v="1"/>
    <n v="65.207595066803691"/>
    <s v="OK"/>
    <m/>
    <m/>
  </r>
  <r>
    <s v="TI-2024-0048"/>
    <d v="2024-12-11T00:00:00"/>
    <s v="PT EKA TEXTILE"/>
    <x v="1"/>
    <s v="JPN"/>
    <s v="844520"/>
    <s v="Spinning Machines"/>
    <n v="2921"/>
    <x v="47"/>
    <x v="3"/>
    <s v="Japan"/>
    <x v="0"/>
    <n v="12"/>
    <n v="68.165648750427934"/>
    <s v="OK"/>
    <m/>
    <m/>
  </r>
  <r>
    <s v="TI-2024-0049"/>
    <d v="2024-08-08T00:00:00"/>
    <s v="GEMILANG TEXTILE PT"/>
    <x v="4"/>
    <s v="TUR"/>
    <s v="844839"/>
    <s v="Other Textile Machinery Parts"/>
    <n v="1118"/>
    <x v="48"/>
    <x v="1"/>
    <s v="Türkiye"/>
    <x v="0"/>
    <n v="8"/>
    <n v="20.019713774597495"/>
    <s v="OK"/>
    <m/>
    <m/>
  </r>
  <r>
    <s v="TI-2024-0050"/>
    <d v="2024-03-03T00:00:00"/>
    <s v="PT CITRA SPINNING"/>
    <x v="0"/>
    <s v="JPN"/>
    <s v="844839"/>
    <s v="Other Textile Machinery Parts"/>
    <n v="1094"/>
    <x v="49"/>
    <x v="8"/>
    <s v="Japan"/>
    <x v="0"/>
    <n v="3"/>
    <n v="29.469954296160878"/>
    <s v="OK"/>
    <m/>
    <m/>
  </r>
  <r>
    <s v="TI-2024-0051"/>
    <d v="2024-09-22T00:00:00"/>
    <s v="PT. HARMONI SPINNING"/>
    <x v="3"/>
    <s v="DEU"/>
    <s v="844831"/>
    <s v="Card Clothing &amp; Parts"/>
    <n v="1489"/>
    <x v="50"/>
    <x v="6"/>
    <s v="Germany"/>
    <x v="0"/>
    <n v="9"/>
    <n v="34.25470785762257"/>
    <s v="OK"/>
    <m/>
    <m/>
  </r>
  <r>
    <s v="TI-2024-0052"/>
    <d v="2024-08-06T00:00:00"/>
    <s v="ARUNA TEXTILE PT"/>
    <x v="10"/>
    <s v="CHN"/>
    <s v="844831"/>
    <s v="Card Clothing &amp; Parts"/>
    <n v="628"/>
    <x v="51"/>
    <x v="2"/>
    <s v="China"/>
    <x v="0"/>
    <n v="8"/>
    <n v="29.209299363057323"/>
    <s v="OK"/>
    <m/>
    <m/>
  </r>
  <r>
    <s v="TI-2024-0053"/>
    <d v="2024-06-02T00:00:00"/>
    <s v="PT EKA TEXTILE"/>
    <x v="10"/>
    <s v="CHN"/>
    <s v="844831"/>
    <s v="Card Clothing &amp; Parts"/>
    <n v="1310"/>
    <x v="52"/>
    <x v="3"/>
    <s v="China"/>
    <x v="0"/>
    <n v="6"/>
    <n v="39.648091603053437"/>
    <s v="OK"/>
    <m/>
    <m/>
  </r>
  <r>
    <s v="TI-2024-0054"/>
    <d v="2024-07-26T00:00:00"/>
    <s v="PT ARUNA TEXTILE"/>
    <x v="9"/>
    <s v="DEU"/>
    <s v="844511"/>
    <s v="Carding Machines"/>
    <n v="545"/>
    <x v="53"/>
    <x v="2"/>
    <s v="Germany"/>
    <x v="0"/>
    <n v="7"/>
    <n v="59.076110091743118"/>
    <s v="OK"/>
    <m/>
    <m/>
  </r>
  <r>
    <s v="TI-2024-0055"/>
    <d v="2024-10-12T00:00:00"/>
    <s v="PT CITRA SPINNING"/>
    <x v="10"/>
    <s v="CHN"/>
    <s v="844520"/>
    <s v="Spinning Machines"/>
    <n v="2110"/>
    <x v="54"/>
    <x v="8"/>
    <s v="China"/>
    <x v="0"/>
    <n v="10"/>
    <n v="69.497957345971571"/>
    <s v="OK"/>
    <m/>
    <m/>
  </r>
  <r>
    <s v="TI-2024-0056"/>
    <d v="2024-09-05T00:00:00"/>
    <s v="PT HARMONI SPINNING"/>
    <x v="11"/>
    <s v="CHE"/>
    <s v="844839"/>
    <s v="Other Textile Machinery Parts"/>
    <n v="1205"/>
    <x v="55"/>
    <x v="6"/>
    <s v="Switzerland"/>
    <x v="0"/>
    <n v="9"/>
    <n v="29.053742738589214"/>
    <s v="OK"/>
    <m/>
    <m/>
  </r>
  <r>
    <s v="TI-2024-0057"/>
    <d v="2024-11-13T00:00:00"/>
    <s v="PT BINTANG WEAVING"/>
    <x v="11"/>
    <s v="CHE"/>
    <s v="844831"/>
    <s v="Card Clothing &amp; Parts"/>
    <n v="2130"/>
    <x v="56"/>
    <x v="5"/>
    <s v="Switzerland"/>
    <x v="0"/>
    <n v="11"/>
    <n v="27.849624413145538"/>
    <s v="OK"/>
    <m/>
    <m/>
  </r>
  <r>
    <s v="TI-2024-0058"/>
    <d v="2024-09-14T00:00:00"/>
    <s v="PT. ARUNA TEXTILE"/>
    <x v="6"/>
    <s v="CHN"/>
    <s v="844511"/>
    <s v="Carding Machines"/>
    <n v="2976"/>
    <x v="57"/>
    <x v="2"/>
    <s v="China"/>
    <x v="0"/>
    <n v="9"/>
    <n v="45.677049731182791"/>
    <s v="OK"/>
    <m/>
    <m/>
  </r>
  <r>
    <s v="TI-2024-0059"/>
    <d v="2024-02-29T00:00:00"/>
    <s v="PT. BINTANG WEAVING"/>
    <x v="0"/>
    <s v="JPN"/>
    <s v="844520"/>
    <s v="Spinning Machines"/>
    <n v="1632"/>
    <x v="58"/>
    <x v="5"/>
    <s v="Japan"/>
    <x v="0"/>
    <n v="2"/>
    <n v="42.152365196078435"/>
    <s v="OK"/>
    <m/>
    <m/>
  </r>
  <r>
    <s v="TI-2024-0060"/>
    <d v="2024-11-19T00:00:00"/>
    <s v="PT BINTANG WEAVING"/>
    <x v="2"/>
    <s v="IND"/>
    <s v="844839"/>
    <s v="Other Textile Machinery Parts"/>
    <n v="1568"/>
    <x v="59"/>
    <x v="5"/>
    <s v="India"/>
    <x v="0"/>
    <n v="11"/>
    <n v="31.45823341836735"/>
    <s v="OK"/>
    <m/>
    <m/>
  </r>
  <r>
    <s v="TI-2024-0061"/>
    <d v="2024-06-11T00:00:00"/>
    <s v="PT. BINTANG WEAVING"/>
    <x v="2"/>
    <s v="IND"/>
    <s v="844520"/>
    <s v="Spinning Machines"/>
    <n v="1446"/>
    <x v="60"/>
    <x v="5"/>
    <s v="India"/>
    <x v="0"/>
    <n v="6"/>
    <n v="54.80418395573998"/>
    <s v="OK"/>
    <m/>
    <m/>
  </r>
  <r>
    <s v="TI-2024-0062"/>
    <d v="2024-09-22T00:00:00"/>
    <s v="EKA TEXTILE PT"/>
    <x v="1"/>
    <s v="JPN"/>
    <s v="844630"/>
    <s v="Air-Jet Looms"/>
    <n v="1118"/>
    <x v="61"/>
    <x v="3"/>
    <s v="Japan"/>
    <x v="0"/>
    <n v="9"/>
    <n v="76.261726296958855"/>
    <s v="OK"/>
    <m/>
    <m/>
  </r>
  <r>
    <s v="TI-2024-0063"/>
    <d v="2024-10-25T00:00:00"/>
    <s v="FAJAR KNITTING"/>
    <x v="5"/>
    <s v="IND"/>
    <s v="844511"/>
    <s v="Carding Machines"/>
    <n v="763"/>
    <x v="62"/>
    <x v="4"/>
    <s v="India"/>
    <x v="0"/>
    <n v="10"/>
    <n v="42.360655307994755"/>
    <s v="OK"/>
    <m/>
    <m/>
  </r>
  <r>
    <s v="TI-2024-0064"/>
    <d v="2024-12-24T00:00:00"/>
    <s v="ARUNA TEXTILE PT"/>
    <x v="9"/>
    <s v="DEU"/>
    <s v="844849"/>
    <s v="Weaving Machine Parts"/>
    <n v="890"/>
    <x v="63"/>
    <x v="2"/>
    <s v="Germany"/>
    <x v="0"/>
    <n v="12"/>
    <n v="33.143044943820229"/>
    <s v="OK"/>
    <m/>
    <m/>
  </r>
  <r>
    <s v="TI-2024-0065"/>
    <d v="2024-01-06T00:00:00"/>
    <s v="PT. GEMILANG TEXTILE"/>
    <x v="9"/>
    <s v="DEU"/>
    <s v="844839"/>
    <s v="Other Textile Machinery Parts"/>
    <n v="1079"/>
    <x v="64"/>
    <x v="1"/>
    <s v="Germany"/>
    <x v="0"/>
    <n v="1"/>
    <n v="21.042585727525488"/>
    <s v="OK"/>
    <m/>
    <m/>
  </r>
  <r>
    <s v="TI-2024-0066"/>
    <d v="2024-01-01T00:00:00"/>
    <s v="DAYA FABRICS"/>
    <x v="6"/>
    <s v="CHN"/>
    <s v="844831"/>
    <s v="Card Clothing &amp; Parts"/>
    <n v="1171"/>
    <x v="65"/>
    <x v="0"/>
    <s v="China"/>
    <x v="0"/>
    <n v="1"/>
    <n v="34.971485909479078"/>
    <s v="OK"/>
    <m/>
    <m/>
  </r>
  <r>
    <s v="TI-2024-0067"/>
    <d v="2024-09-30T00:00:00"/>
    <s v="EKA TEXTILE PT"/>
    <x v="1"/>
    <s v="JPN"/>
    <s v="844849"/>
    <s v="Weaving Machine Parts"/>
    <n v="828"/>
    <x v="66"/>
    <x v="3"/>
    <s v="Japan"/>
    <x v="0"/>
    <n v="9"/>
    <n v="50.033067632850241"/>
    <s v="OK"/>
    <m/>
    <m/>
  </r>
  <r>
    <s v="TI-2024-0068"/>
    <d v="2024-06-06T00:00:00"/>
    <s v="PT BINTANG WEAVING"/>
    <x v="4"/>
    <s v="TUR"/>
    <s v="844839"/>
    <s v="Other Textile Machinery Parts"/>
    <n v="2353"/>
    <x v="67"/>
    <x v="5"/>
    <s v="Türkiye"/>
    <x v="0"/>
    <n v="6"/>
    <n v="24.521874203144922"/>
    <s v="OK"/>
    <m/>
    <m/>
  </r>
  <r>
    <s v="TI-2024-0069"/>
    <d v="2024-03-11T00:00:00"/>
    <s v="PT ARUNA TEXTILE"/>
    <x v="10"/>
    <s v="CHN"/>
    <s v="844849"/>
    <s v="Weaving Machine Parts"/>
    <n v="4226"/>
    <x v="68"/>
    <x v="2"/>
    <s v="China"/>
    <x v="0"/>
    <n v="3"/>
    <n v="33.29757453857075"/>
    <s v="OK"/>
    <m/>
    <m/>
  </r>
  <r>
    <s v="TI-2024-0070"/>
    <d v="2024-01-08T00:00:00"/>
    <s v="HARMONI SPINNING"/>
    <x v="0"/>
    <s v="JPN"/>
    <s v="844520"/>
    <s v="Spinning Machines"/>
    <n v="1314"/>
    <x v="69"/>
    <x v="6"/>
    <s v="Japan"/>
    <x v="0"/>
    <n v="1"/>
    <n v="55.254733637747336"/>
    <s v="OK"/>
    <m/>
    <m/>
  </r>
  <r>
    <s v="TI-2025-0071"/>
    <d v="2025-04-30T00:00:00"/>
    <s v="PT ARUNA TEXTILE"/>
    <x v="10"/>
    <s v="CHN"/>
    <s v="844831"/>
    <s v="Card Clothing &amp; Parts"/>
    <n v="2046"/>
    <x v="70"/>
    <x v="2"/>
    <s v="China"/>
    <x v="1"/>
    <n v="4"/>
    <n v="32.225747800586511"/>
    <s v="OK"/>
    <m/>
    <m/>
  </r>
  <r>
    <s v="TI-2025-0072"/>
    <d v="2025-08-30T00:00:00"/>
    <s v="PT HARMONI SPINNING"/>
    <x v="1"/>
    <s v="JPN"/>
    <s v="844520"/>
    <s v="Spinning Machines"/>
    <n v="864"/>
    <x v="71"/>
    <x v="6"/>
    <s v="Japan"/>
    <x v="1"/>
    <n v="8"/>
    <n v="70.636284722222229"/>
    <s v="OK"/>
    <m/>
    <m/>
  </r>
  <r>
    <s v="TI-2025-0073"/>
    <d v="2025-05-03T00:00:00"/>
    <s v="HARMONI SPINNING"/>
    <x v="10"/>
    <s v="CHN"/>
    <s v="844849"/>
    <s v="Weaving Machine Parts"/>
    <n v="1580"/>
    <x v="72"/>
    <x v="6"/>
    <s v="China"/>
    <x v="1"/>
    <n v="5"/>
    <n v="31.030993670886076"/>
    <s v="OK"/>
    <m/>
    <m/>
  </r>
  <r>
    <s v="TI-2025-0074"/>
    <d v="2025-08-17T00:00:00"/>
    <s v="FAJAR KNITTING"/>
    <x v="6"/>
    <s v="CHN"/>
    <s v="844839"/>
    <s v="Other Textile Machinery Parts"/>
    <n v="1143"/>
    <x v="73"/>
    <x v="4"/>
    <s v="China"/>
    <x v="1"/>
    <n v="8"/>
    <n v="34.714225721784779"/>
    <s v="OK"/>
    <m/>
    <m/>
  </r>
  <r>
    <s v="TI-2025-0075"/>
    <d v="2025-09-18T00:00:00"/>
    <s v="PT ARUNA TEXTILE"/>
    <x v="10"/>
    <s v="CHN"/>
    <s v="844831"/>
    <s v="Card Clothing &amp; Parts"/>
    <n v="1829"/>
    <x v="74"/>
    <x v="2"/>
    <s v="China"/>
    <x v="1"/>
    <n v="9"/>
    <n v="32.166451612903224"/>
    <s v="OK"/>
    <m/>
    <m/>
  </r>
  <r>
    <s v="TI-2025-0076"/>
    <d v="2025-03-20T00:00:00"/>
    <s v="FAJAR KNITTING"/>
    <x v="6"/>
    <s v="CHN"/>
    <s v="844849"/>
    <s v="Weaving Machine Parts"/>
    <n v="920"/>
    <x v="75"/>
    <x v="4"/>
    <s v="China"/>
    <x v="1"/>
    <n v="3"/>
    <n v="52.26715217391304"/>
    <s v="OK"/>
    <m/>
    <m/>
  </r>
  <r>
    <s v="TI-2025-0077"/>
    <d v="2025-02-23T00:00:00"/>
    <s v="HARMONI SPINNING"/>
    <x v="11"/>
    <s v="CHE"/>
    <s v="844839"/>
    <s v="Other Textile Machinery Parts"/>
    <n v="487"/>
    <x v="76"/>
    <x v="6"/>
    <s v="Switzerland"/>
    <x v="1"/>
    <n v="2"/>
    <n v="27.232566735112936"/>
    <s v="OK"/>
    <m/>
    <m/>
  </r>
  <r>
    <s v="TI-2025-0078"/>
    <d v="2025-11-29T00:00:00"/>
    <s v="PT. HARMONI SPINNING"/>
    <x v="2"/>
    <s v="IND"/>
    <s v="844839"/>
    <s v="Other Textile Machinery Parts"/>
    <n v="2883"/>
    <x v="77"/>
    <x v="6"/>
    <s v="India"/>
    <x v="1"/>
    <n v="11"/>
    <n v="28.845296566077003"/>
    <s v="OK"/>
    <m/>
    <m/>
  </r>
  <r>
    <s v="TI-2025-0079"/>
    <d v="2025-09-13T00:00:00"/>
    <s v="PT CITRA SPINNING"/>
    <x v="0"/>
    <s v="JPN"/>
    <s v="844511"/>
    <s v="Carding Machines"/>
    <n v="1270"/>
    <x v="78"/>
    <x v="8"/>
    <s v="Japan"/>
    <x v="1"/>
    <n v="9"/>
    <n v="67.049291338582677"/>
    <s v="OK"/>
    <m/>
    <m/>
  </r>
  <r>
    <s v="TI-2025-0080"/>
    <d v="2025-04-28T00:00:00"/>
    <s v="DAYA FABRICS"/>
    <x v="8"/>
    <s v="CHE"/>
    <s v="844831"/>
    <s v="Card Clothing &amp; Parts"/>
    <n v="951"/>
    <x v="79"/>
    <x v="0"/>
    <s v="Switzerland"/>
    <x v="1"/>
    <n v="4"/>
    <n v="40.618107255520506"/>
    <s v="OK"/>
    <m/>
    <m/>
  </r>
  <r>
    <s v="TI-2025-0081"/>
    <d v="2025-08-23T00:00:00"/>
    <s v="BINTANG WEAVING"/>
    <x v="10"/>
    <s v="CHN"/>
    <s v="844849"/>
    <s v="Weaving Machine Parts"/>
    <n v="1051"/>
    <x v="80"/>
    <x v="5"/>
    <s v="China"/>
    <x v="1"/>
    <n v="8"/>
    <n v="55.127925784966699"/>
    <s v="OK"/>
    <m/>
    <m/>
  </r>
  <r>
    <s v="TI-2025-0082"/>
    <d v="2025-11-06T00:00:00"/>
    <s v="PT DAYA FABRICS"/>
    <x v="11"/>
    <s v="CHE"/>
    <s v="844520"/>
    <s v="Spinning Machines"/>
    <n v="1909"/>
    <x v="81"/>
    <x v="0"/>
    <s v="Switzerland"/>
    <x v="1"/>
    <n v="11"/>
    <n v="68.472006286013624"/>
    <s v="OK"/>
    <m/>
    <m/>
  </r>
  <r>
    <s v="TI-2025-0083"/>
    <d v="2025-02-05T00:00:00"/>
    <s v="PT. JAYA TEXTILE"/>
    <x v="4"/>
    <s v="TUR"/>
    <s v="844839"/>
    <s v="Other Textile Machinery Parts"/>
    <n v="935"/>
    <x v="82"/>
    <x v="9"/>
    <s v="Türkiye"/>
    <x v="1"/>
    <n v="2"/>
    <n v="37.532695187165778"/>
    <s v="OK"/>
    <m/>
    <m/>
  </r>
  <r>
    <s v="TI-2025-0084"/>
    <d v="2025-06-27T00:00:00"/>
    <s v="ARUNA TEXTILE PT"/>
    <x v="1"/>
    <s v="JPN"/>
    <s v="844511"/>
    <s v="Carding Machines"/>
    <n v="2091"/>
    <x v="83"/>
    <x v="2"/>
    <s v="Japan"/>
    <x v="1"/>
    <n v="6"/>
    <n v="48.602271640363462"/>
    <s v="OK"/>
    <m/>
    <m/>
  </r>
  <r>
    <s v="TI-2025-0085"/>
    <d v="2025-02-09T00:00:00"/>
    <s v="PT FAJAR KNITTING"/>
    <x v="7"/>
    <s v="TUR"/>
    <s v="844839"/>
    <s v="Other Textile Machinery Parts"/>
    <n v="1874"/>
    <x v="84"/>
    <x v="4"/>
    <s v="Türkiye"/>
    <x v="1"/>
    <n v="2"/>
    <n v="29.734653148345782"/>
    <s v="OK"/>
    <m/>
    <m/>
  </r>
  <r>
    <s v="TI-2025-0086"/>
    <d v="2025-04-09T00:00:00"/>
    <s v="DAYA FABRICS"/>
    <x v="5"/>
    <s v="IND"/>
    <s v="844839"/>
    <s v="Other Textile Machinery Parts"/>
    <n v="1078"/>
    <x v="85"/>
    <x v="0"/>
    <s v="India"/>
    <x v="1"/>
    <n v="4"/>
    <n v="21.341771799628944"/>
    <s v="OK"/>
    <m/>
    <m/>
  </r>
  <r>
    <s v="TI-2025-0087"/>
    <d v="2025-01-26T00:00:00"/>
    <s v="PT ARUNA TEXTILE"/>
    <x v="1"/>
    <s v="JPN"/>
    <s v="844831"/>
    <s v="Card Clothing &amp; Parts"/>
    <n v="745"/>
    <x v="86"/>
    <x v="2"/>
    <s v="Japan"/>
    <x v="1"/>
    <n v="1"/>
    <n v="39.674201342281876"/>
    <s v="OK"/>
    <m/>
    <m/>
  </r>
  <r>
    <s v="TI-2025-0088"/>
    <d v="2025-07-27T00:00:00"/>
    <s v="CITRA SPINNING PT"/>
    <x v="8"/>
    <s v="CHE"/>
    <s v="844520"/>
    <s v="Spinning Machines"/>
    <n v="1212"/>
    <x v="87"/>
    <x v="8"/>
    <s v="Switzerland"/>
    <x v="1"/>
    <n v="7"/>
    <n v="75.195734323432333"/>
    <s v="OK"/>
    <m/>
    <m/>
  </r>
  <r>
    <s v="TI-2025-0089"/>
    <d v="2025-11-19T00:00:00"/>
    <s v="PT. EKA TEXTILE"/>
    <x v="9"/>
    <s v="DEU"/>
    <s v="844520"/>
    <s v="Spinning Machines"/>
    <n v="2501"/>
    <x v="88"/>
    <x v="3"/>
    <s v="Germany"/>
    <x v="1"/>
    <n v="11"/>
    <n v="77.176377449020393"/>
    <s v="OK"/>
    <m/>
    <m/>
  </r>
  <r>
    <s v="TI-2025-0090"/>
    <d v="2025-09-25T00:00:00"/>
    <s v="PT ARUNA TEXTILE"/>
    <x v="10"/>
    <s v="CHN"/>
    <s v="844831"/>
    <s v="Card Clothing &amp; Parts"/>
    <n v="1700"/>
    <x v="89"/>
    <x v="2"/>
    <s v="China"/>
    <x v="1"/>
    <n v="9"/>
    <n v="37.167364705882349"/>
    <s v="OK"/>
    <m/>
    <m/>
  </r>
  <r>
    <s v="TI-2025-0091"/>
    <d v="2025-01-07T00:00:00"/>
    <s v="DAYA FABRICS"/>
    <x v="6"/>
    <s v="CHN"/>
    <s v="844520"/>
    <s v="Spinning Machines"/>
    <n v="1490"/>
    <x v="90"/>
    <x v="0"/>
    <s v="China"/>
    <x v="1"/>
    <n v="1"/>
    <n v="75.755040268456369"/>
    <s v="OK"/>
    <m/>
    <m/>
  </r>
  <r>
    <s v="TI-2025-0092"/>
    <d v="2025-07-21T00:00:00"/>
    <s v="BINTANG WEAVING"/>
    <x v="10"/>
    <s v="CHN"/>
    <s v="844831"/>
    <s v="Card Clothing &amp; Parts"/>
    <n v="1131"/>
    <x v="91"/>
    <x v="5"/>
    <s v="China"/>
    <x v="1"/>
    <n v="7"/>
    <n v="43.79405835543767"/>
    <s v="OK"/>
    <m/>
    <m/>
  </r>
  <r>
    <s v="TI-2025-0093"/>
    <d v="2025-03-22T00:00:00"/>
    <s v="PT ARUNA TEXTILE"/>
    <x v="5"/>
    <s v="IND"/>
    <s v="844839"/>
    <s v="Other Textile Machinery Parts"/>
    <n v="2575"/>
    <x v="92"/>
    <x v="2"/>
    <s v="India"/>
    <x v="1"/>
    <n v="3"/>
    <n v="31.835277669902911"/>
    <s v="OK"/>
    <m/>
    <m/>
  </r>
  <r>
    <s v="TI-2025-0094"/>
    <d v="2025-05-03T00:00:00"/>
    <s v="BINTANG WEAVING"/>
    <x v="5"/>
    <s v="IND"/>
    <s v="844839"/>
    <s v="Other Textile Machinery Parts"/>
    <n v="1904"/>
    <x v="93"/>
    <x v="5"/>
    <s v="India"/>
    <x v="1"/>
    <n v="5"/>
    <n v="34.206407563025209"/>
    <s v="OK"/>
    <m/>
    <m/>
  </r>
  <r>
    <s v="TI-2025-0095"/>
    <d v="2025-02-26T00:00:00"/>
    <s v="PT INDAH WEAVING"/>
    <x v="8"/>
    <s v="CHE"/>
    <s v="844511"/>
    <s v="Carding Machines"/>
    <n v="922"/>
    <x v="94"/>
    <x v="7"/>
    <s v="Switzerland"/>
    <x v="1"/>
    <n v="2"/>
    <n v="50.94001084598699"/>
    <s v="OK"/>
    <m/>
    <m/>
  </r>
  <r>
    <s v="TI-2025-0096"/>
    <d v="2025-10-22T00:00:00"/>
    <s v="PT. JAYA TEXTILE"/>
    <x v="7"/>
    <s v="TUR"/>
    <s v="844831"/>
    <s v="Card Clothing &amp; Parts"/>
    <n v="2256"/>
    <x v="95"/>
    <x v="9"/>
    <s v="Türkiye"/>
    <x v="1"/>
    <n v="10"/>
    <n v="29.965518617021278"/>
    <s v="OK"/>
    <m/>
    <m/>
  </r>
  <r>
    <s v="TI-2025-0097"/>
    <d v="2025-10-14T00:00:00"/>
    <s v="PT CITRA SPINNING"/>
    <x v="1"/>
    <s v="JPN"/>
    <s v="844520"/>
    <s v="Spinning Machines"/>
    <n v="1373"/>
    <x v="96"/>
    <x v="8"/>
    <s v="Japan"/>
    <x v="1"/>
    <n v="10"/>
    <n v="77.270182083029866"/>
    <s v="Duplicate ID"/>
    <m/>
    <m/>
  </r>
  <r>
    <s v="TI-2025-0098"/>
    <d v="2025-10-19T00:00:00"/>
    <s v="PT. BINTANG WEAVING"/>
    <x v="3"/>
    <s v="DEU"/>
    <s v="844849"/>
    <s v="Weaving Machine Parts"/>
    <n v="1917"/>
    <x v="97"/>
    <x v="5"/>
    <s v="Germany"/>
    <x v="1"/>
    <n v="10"/>
    <n v="32.373484611371936"/>
    <s v="OK"/>
    <m/>
    <m/>
  </r>
  <r>
    <s v="TI-2025-0099"/>
    <d v="2025-04-14T00:00:00"/>
    <s v="GEMILANG TEXTILE PT"/>
    <x v="6"/>
    <s v="CHN"/>
    <s v="844831"/>
    <s v="Card Clothing &amp; Parts"/>
    <n v="2018"/>
    <x v="98"/>
    <x v="1"/>
    <s v="China"/>
    <x v="1"/>
    <n v="4"/>
    <n v="41.084890981169472"/>
    <s v="OK"/>
    <m/>
    <m/>
  </r>
  <r>
    <s v="TI-2025-0100"/>
    <d v="2025-10-14T00:00:00"/>
    <s v="BINTANG WEAVING"/>
    <x v="10"/>
    <s v="CHN"/>
    <s v="844520"/>
    <s v="Spinning Machines"/>
    <n v="2263"/>
    <x v="99"/>
    <x v="5"/>
    <s v="China"/>
    <x v="1"/>
    <n v="10"/>
    <n v="54.656712328767121"/>
    <s v="OK"/>
    <m/>
    <m/>
  </r>
  <r>
    <s v="TI-2025-0101"/>
    <d v="2025-10-15T00:00:00"/>
    <s v="ARUNA TEXTILE PT"/>
    <x v="0"/>
    <s v="JPN"/>
    <s v="844839"/>
    <s v="Other Textile Machinery Parts"/>
    <n v="763"/>
    <x v="100"/>
    <x v="2"/>
    <s v="Japan"/>
    <x v="1"/>
    <n v="10"/>
    <n v="33.230013106159895"/>
    <s v="OK"/>
    <m/>
    <m/>
  </r>
  <r>
    <s v="TI-2025-0102"/>
    <d v="2025-03-22T00:00:00"/>
    <s v="DAYA FABRICS"/>
    <x v="8"/>
    <s v="CHE"/>
    <s v="844520"/>
    <s v="Spinning Machines"/>
    <n v="792"/>
    <x v="101"/>
    <x v="0"/>
    <s v="Switzerland"/>
    <x v="1"/>
    <n v="3"/>
    <n v="49.269469696969693"/>
    <s v="OK"/>
    <m/>
    <m/>
  </r>
  <r>
    <s v="TI-2025-0103"/>
    <d v="2025-09-12T00:00:00"/>
    <s v="PT. GEMILANG TEXTILE"/>
    <x v="0"/>
    <s v="JPN"/>
    <s v="844520"/>
    <s v="Spinning Machines"/>
    <n v="2111"/>
    <x v="102"/>
    <x v="1"/>
    <s v="Japan"/>
    <x v="1"/>
    <n v="9"/>
    <n v="72.766011369019409"/>
    <s v="OK"/>
    <m/>
    <m/>
  </r>
  <r>
    <s v="TI-2025-0104"/>
    <d v="2025-05-05T00:00:00"/>
    <s v="FAJAR KNITTING"/>
    <x v="10"/>
    <s v="CHN"/>
    <s v="844839"/>
    <s v="Other Textile Machinery Parts"/>
    <n v="1499"/>
    <x v="103"/>
    <x v="4"/>
    <s v="China"/>
    <x v="1"/>
    <n v="5"/>
    <n v="37.454569713142092"/>
    <s v="OK"/>
    <m/>
    <m/>
  </r>
  <r>
    <s v="TI-2025-0105"/>
    <d v="2025-07-04T00:00:00"/>
    <s v="PT CITRA SPINNING"/>
    <x v="5"/>
    <s v="IND"/>
    <s v="844839"/>
    <s v="Other Textile Machinery Parts"/>
    <n v="1869"/>
    <x v="104"/>
    <x v="8"/>
    <s v="India"/>
    <x v="1"/>
    <n v="7"/>
    <n v="33.512980203317284"/>
    <s v="OK"/>
    <m/>
    <m/>
  </r>
  <r>
    <s v="TI-2025-0106"/>
    <d v="2025-10-23T00:00:00"/>
    <s v="PT. JAYA TEXTILE"/>
    <x v="0"/>
    <s v="JPN"/>
    <s v="844520"/>
    <s v="Spinning Machines"/>
    <n v="594"/>
    <x v="105"/>
    <x v="9"/>
    <s v="Japan"/>
    <x v="1"/>
    <n v="10"/>
    <n v="59.399545454545461"/>
    <s v="OK"/>
    <m/>
    <m/>
  </r>
  <r>
    <s v="TI-2025-0107"/>
    <d v="2025-04-26T00:00:00"/>
    <s v="CITRA SPINNING PT"/>
    <x v="1"/>
    <s v="JPN"/>
    <s v="844630"/>
    <s v="Air-Jet Looms"/>
    <n v="1842"/>
    <x v="106"/>
    <x v="8"/>
    <s v="Japan"/>
    <x v="1"/>
    <n v="4"/>
    <n v="76.990917480998903"/>
    <s v="OK"/>
    <m/>
    <m/>
  </r>
  <r>
    <s v="TI-2025-0108"/>
    <d v="2025-02-15T00:00:00"/>
    <s v="PT. ARUNA TEXTILE"/>
    <x v="2"/>
    <s v="IND"/>
    <s v="844511"/>
    <s v="Carding Machines"/>
    <n v="3732"/>
    <x v="107"/>
    <x v="2"/>
    <s v="India"/>
    <x v="1"/>
    <n v="2"/>
    <n v="39.018204715969993"/>
    <s v="OK"/>
    <m/>
    <m/>
  </r>
  <r>
    <s v="TI-2025-0109"/>
    <d v="2025-07-11T00:00:00"/>
    <s v="PT. INDAH WEAVING"/>
    <x v="6"/>
    <s v="CHN"/>
    <s v="844831"/>
    <s v="Card Clothing &amp; Parts"/>
    <n v="2336"/>
    <x v="108"/>
    <x v="7"/>
    <s v="China"/>
    <x v="1"/>
    <n v="7"/>
    <n v="26.815565068493154"/>
    <s v="OK"/>
    <m/>
    <m/>
  </r>
  <r>
    <s v="TI-2025-0110"/>
    <d v="2025-09-05T00:00:00"/>
    <s v="PT GEMILANG TEXTILE"/>
    <x v="0"/>
    <s v="JPN"/>
    <s v="844839"/>
    <s v="Other Textile Machinery Parts"/>
    <n v="2607"/>
    <x v="109"/>
    <x v="1"/>
    <s v="Japan"/>
    <x v="1"/>
    <n v="9"/>
    <n v="28.606482546988879"/>
    <s v="OK"/>
    <m/>
    <m/>
  </r>
  <r>
    <s v="TI-2025-0111"/>
    <d v="2025-09-22T00:00:00"/>
    <s v="PT. CITRA SPINNING"/>
    <x v="10"/>
    <s v="CHN"/>
    <s v="844511"/>
    <s v="Carding Machines"/>
    <n v="1869"/>
    <x v="110"/>
    <x v="8"/>
    <s v="China"/>
    <x v="1"/>
    <n v="9"/>
    <n v="50.626104868913856"/>
    <s v="OK"/>
    <m/>
    <m/>
  </r>
  <r>
    <s v="TI-2025-0112"/>
    <d v="2025-11-30T00:00:00"/>
    <s v="PT. JAYA TEXTILE"/>
    <x v="6"/>
    <s v="CHN"/>
    <s v="844839"/>
    <s v="Other Textile Machinery Parts"/>
    <n v="661"/>
    <x v="111"/>
    <x v="9"/>
    <s v="China"/>
    <x v="1"/>
    <n v="11"/>
    <n v="25.241664145234495"/>
    <s v="OK"/>
    <m/>
    <m/>
  </r>
  <r>
    <s v="TI-2025-0113"/>
    <d v="2025-12-18T00:00:00"/>
    <s v="BINTANG WEAVING"/>
    <x v="11"/>
    <s v="CHE"/>
    <s v="844520"/>
    <s v="Spinning Machines"/>
    <n v="933"/>
    <x v="112"/>
    <x v="5"/>
    <s v="Switzerland"/>
    <x v="1"/>
    <n v="12"/>
    <n v="69.284415862808146"/>
    <s v="OK"/>
    <m/>
    <m/>
  </r>
  <r>
    <s v="TI-2025-0114"/>
    <d v="2025-05-02T00:00:00"/>
    <s v="PT. BINTANG WEAVING"/>
    <x v="10"/>
    <s v="CHN"/>
    <s v="844831"/>
    <s v="Card Clothing &amp; Parts"/>
    <n v="1616"/>
    <x v="113"/>
    <x v="5"/>
    <s v="China"/>
    <x v="1"/>
    <n v="5"/>
    <n v="34.990587871287133"/>
    <s v="OK"/>
    <m/>
    <m/>
  </r>
  <r>
    <s v="TI-2025-0115"/>
    <d v="2025-02-03T00:00:00"/>
    <s v="ARUNA TEXTILE PT"/>
    <x v="2"/>
    <s v="IND"/>
    <s v="844520"/>
    <s v="Spinning Machines"/>
    <n v="1127"/>
    <x v="114"/>
    <x v="2"/>
    <s v="India"/>
    <x v="1"/>
    <n v="2"/>
    <n v="72.279609582963616"/>
    <s v="OK"/>
    <m/>
    <m/>
  </r>
  <r>
    <s v="TI-2025-0116"/>
    <d v="2025-09-27T00:00:00"/>
    <s v="CITRA SPINNING PT"/>
    <x v="6"/>
    <s v="CHN"/>
    <s v="844511"/>
    <s v="Carding Machines"/>
    <n v="783"/>
    <x v="115"/>
    <x v="8"/>
    <s v="China"/>
    <x v="1"/>
    <n v="9"/>
    <n v="43.973448275862069"/>
    <s v="OK"/>
    <m/>
    <m/>
  </r>
  <r>
    <s v="TI-2025-0117"/>
    <d v="2025-11-16T00:00:00"/>
    <s v="PT. BINTANG WEAVING"/>
    <x v="10"/>
    <s v="CHN"/>
    <s v="844520"/>
    <s v="Spinning Machines"/>
    <n v="777"/>
    <x v="116"/>
    <x v="5"/>
    <s v="China"/>
    <x v="1"/>
    <n v="11"/>
    <n v="75.074427284427287"/>
    <s v="OK"/>
    <m/>
    <m/>
  </r>
  <r>
    <s v="TI-2025-0118"/>
    <d v="2025-03-02T00:00:00"/>
    <s v="PT. JAYA TEXTILE"/>
    <x v="4"/>
    <s v="TUR"/>
    <s v="844849"/>
    <s v="Weaving Machine Parts"/>
    <n v="1889"/>
    <x v="117"/>
    <x v="9"/>
    <s v="Türkiye"/>
    <x v="1"/>
    <n v="3"/>
    <n v="45.116495500264691"/>
    <s v="OK"/>
    <m/>
    <m/>
  </r>
  <r>
    <s v="TI-2025-0119"/>
    <d v="2025-02-18T00:00:00"/>
    <s v="PT. CITRA SPINNING"/>
    <x v="9"/>
    <s v="DEU"/>
    <s v="844849"/>
    <s v="Weaving Machine Parts"/>
    <n v="2103"/>
    <x v="118"/>
    <x v="8"/>
    <s v="Germany"/>
    <x v="1"/>
    <n v="2"/>
    <n v="48.239115549215406"/>
    <s v="OK"/>
    <m/>
    <m/>
  </r>
  <r>
    <s v="TI-2025-0120"/>
    <d v="2025-01-28T00:00:00"/>
    <s v="ARUNA TEXTILE PT"/>
    <x v="5"/>
    <s v="IND"/>
    <s v="844630"/>
    <s v="Air-Jet Looms"/>
    <n v="488"/>
    <x v="119"/>
    <x v="2"/>
    <s v="India"/>
    <x v="1"/>
    <n v="1"/>
    <n v="71.579815573770489"/>
    <s v="OK"/>
    <m/>
    <m/>
  </r>
  <r>
    <s v="TI-2025-0121"/>
    <d v="2025-03-30T00:00:00"/>
    <s v="PT. BINTANG WEAVING"/>
    <x v="11"/>
    <s v="CHE"/>
    <s v="844511"/>
    <s v="Carding Machines"/>
    <n v="648"/>
    <x v="120"/>
    <x v="5"/>
    <s v="Switzerland"/>
    <x v="1"/>
    <n v="3"/>
    <n v="49.78736111111111"/>
    <s v="OK"/>
    <m/>
    <m/>
  </r>
  <r>
    <s v="TI-2025-0122"/>
    <d v="2025-06-23T00:00:00"/>
    <s v="PT CITRA SPINNING"/>
    <x v="10"/>
    <s v="CHN"/>
    <s v="844511"/>
    <s v="Carding Machines"/>
    <n v="973"/>
    <x v="121"/>
    <x v="8"/>
    <s v="China"/>
    <x v="1"/>
    <n v="6"/>
    <n v="52.633001027749231"/>
    <s v="OK"/>
    <m/>
    <m/>
  </r>
  <r>
    <s v="TI-2025-0123"/>
    <d v="2025-01-22T00:00:00"/>
    <s v="PT BINTANG WEAVING"/>
    <x v="5"/>
    <s v="IND"/>
    <s v="844849"/>
    <s v="Weaving Machine Parts"/>
    <n v="739"/>
    <x v="122"/>
    <x v="5"/>
    <s v="India"/>
    <x v="1"/>
    <n v="1"/>
    <n v="38.18466847090663"/>
    <s v="OK"/>
    <m/>
    <m/>
  </r>
  <r>
    <s v="TI-2025-0124"/>
    <d v="2025-10-10T00:00:00"/>
    <s v="PT INDAH WEAVING"/>
    <x v="8"/>
    <s v="CHE"/>
    <s v="844520"/>
    <s v="Spinning Machines"/>
    <n v="1006"/>
    <x v="123"/>
    <x v="7"/>
    <s v="Switzerland"/>
    <x v="1"/>
    <n v="10"/>
    <n v="78.836202783300195"/>
    <s v="OK"/>
    <m/>
    <m/>
  </r>
  <r>
    <s v="TI-2025-0125"/>
    <d v="2025-09-29T00:00:00"/>
    <s v="PT HARMONI SPINNING"/>
    <x v="2"/>
    <s v="IND"/>
    <s v="844630"/>
    <s v="Air-Jet Looms"/>
    <n v="1055"/>
    <x v="124"/>
    <x v="6"/>
    <s v="India"/>
    <x v="1"/>
    <n v="9"/>
    <n v="121.46217061611374"/>
    <s v="OK"/>
    <m/>
    <m/>
  </r>
  <r>
    <s v="TI-2025-0126"/>
    <d v="2025-09-23T00:00:00"/>
    <s v="PT GEMILANG TEXTILE"/>
    <x v="6"/>
    <s v="CHN"/>
    <s v="844831"/>
    <s v="Card Clothing &amp; Parts"/>
    <n v="971"/>
    <x v="125"/>
    <x v="1"/>
    <s v="China"/>
    <x v="1"/>
    <n v="9"/>
    <n v="26.93366632337796"/>
    <s v="OK"/>
    <m/>
    <m/>
  </r>
  <r>
    <s v="TI-2025-0127"/>
    <d v="2025-11-09T00:00:00"/>
    <s v="PT HARMONI SPINNING"/>
    <x v="1"/>
    <s v="JPN"/>
    <s v="844839"/>
    <s v="Other Textile Machinery Parts"/>
    <n v="592"/>
    <x v="126"/>
    <x v="6"/>
    <s v="Japan"/>
    <x v="1"/>
    <n v="11"/>
    <n v="25.125354729729729"/>
    <s v="OK"/>
    <m/>
    <m/>
  </r>
  <r>
    <s v="TI-2025-0128"/>
    <d v="2025-07-16T00:00:00"/>
    <s v="PT. GEMILANG TEXTILE"/>
    <x v="4"/>
    <s v="TUR"/>
    <s v="844839"/>
    <s v="Other Textile Machinery Parts"/>
    <n v="850"/>
    <x v="127"/>
    <x v="1"/>
    <s v="Türkiye"/>
    <x v="1"/>
    <n v="7"/>
    <n v="33.43889411764706"/>
    <s v="OK"/>
    <m/>
    <m/>
  </r>
  <r>
    <s v="TI-2025-0129"/>
    <d v="2025-02-11T00:00:00"/>
    <s v="BINTANG WEAVING"/>
    <x v="11"/>
    <s v="CHE"/>
    <s v="844520"/>
    <s v="Spinning Machines"/>
    <n v="1187"/>
    <x v="128"/>
    <x v="5"/>
    <s v="Switzerland"/>
    <x v="1"/>
    <n v="2"/>
    <n v="56.12427969671441"/>
    <s v="OK"/>
    <m/>
    <m/>
  </r>
  <r>
    <s v="TI-2025-0130"/>
    <d v="2025-02-25T00:00:00"/>
    <s v="PT. BINTANG WEAVING"/>
    <x v="5"/>
    <s v="IND"/>
    <s v="844831"/>
    <s v="Card Clothing &amp; Parts"/>
    <n v="2310"/>
    <x v="129"/>
    <x v="5"/>
    <s v="India"/>
    <x v="1"/>
    <n v="2"/>
    <n v="33.785043290043291"/>
    <s v="OK"/>
    <m/>
    <m/>
  </r>
  <r>
    <s v="TI-2025-0131"/>
    <d v="2025-04-11T00:00:00"/>
    <s v="PT ARUNA TEXTILE"/>
    <x v="10"/>
    <s v="CHN"/>
    <s v="844630"/>
    <s v="Air-Jet Looms"/>
    <n v="2179"/>
    <x v="130"/>
    <x v="2"/>
    <s v="China"/>
    <x v="1"/>
    <n v="4"/>
    <n v="121.70146856356126"/>
    <s v="OK"/>
    <m/>
    <m/>
  </r>
  <r>
    <s v="TI-2025-0132"/>
    <d v="2025-11-08T00:00:00"/>
    <s v="BINTANG WEAVING"/>
    <x v="1"/>
    <s v="JPN"/>
    <s v="844839"/>
    <s v="Other Textile Machinery Parts"/>
    <n v="1430"/>
    <x v="131"/>
    <x v="5"/>
    <s v="Japan"/>
    <x v="1"/>
    <n v="11"/>
    <n v="31.350426573426574"/>
    <s v="OK"/>
    <m/>
    <m/>
  </r>
  <r>
    <s v="TI-2025-0133"/>
    <d v="2025-02-10T00:00:00"/>
    <s v="PT. ARUNA TEXTILE"/>
    <x v="2"/>
    <s v="IND"/>
    <s v="844511"/>
    <s v="Carding Machines"/>
    <n v="2455"/>
    <x v="132"/>
    <x v="2"/>
    <s v="India"/>
    <x v="1"/>
    <n v="2"/>
    <n v="56.237792260692466"/>
    <s v="OK"/>
    <m/>
    <m/>
  </r>
  <r>
    <s v="TI-2025-0134"/>
    <d v="2025-10-04T00:00:00"/>
    <s v="BINTANG WEAVING"/>
    <x v="2"/>
    <s v="IND"/>
    <s v="844849"/>
    <s v="Weaving Machine Parts"/>
    <n v="1272"/>
    <x v="133"/>
    <x v="5"/>
    <s v="India"/>
    <x v="1"/>
    <n v="10"/>
    <n v="30.877987421383651"/>
    <s v="OK"/>
    <m/>
    <m/>
  </r>
  <r>
    <s v="TI-2025-0135"/>
    <d v="2025-04-19T00:00:00"/>
    <s v="PT. DAYA FABRICS"/>
    <x v="9"/>
    <s v="DEU"/>
    <s v="844839"/>
    <s v="Other Textile Machinery Parts"/>
    <n v="1414"/>
    <x v="134"/>
    <x v="0"/>
    <s v="Germany"/>
    <x v="1"/>
    <n v="4"/>
    <n v="21.277779349363506"/>
    <s v="OK"/>
    <m/>
    <m/>
  </r>
  <r>
    <s v="TI-2025-0136"/>
    <d v="2025-09-27T00:00:00"/>
    <s v="PT. GEMILANG TEXTILE"/>
    <x v="3"/>
    <s v="DEU"/>
    <s v="844831"/>
    <s v="Card Clothing &amp; Parts"/>
    <n v="1420"/>
    <x v="135"/>
    <x v="1"/>
    <s v="Germany"/>
    <x v="1"/>
    <n v="9"/>
    <n v="28.206873239436622"/>
    <s v="OK"/>
    <m/>
    <m/>
  </r>
  <r>
    <s v="TI-2025-0137"/>
    <d v="2025-09-19T00:00:00"/>
    <s v="PT HARMONI SPINNING"/>
    <x v="8"/>
    <s v="CHE"/>
    <s v="844511"/>
    <s v="Carding Machines"/>
    <n v="1891"/>
    <x v="136"/>
    <x v="6"/>
    <s v="Switzerland"/>
    <x v="1"/>
    <n v="9"/>
    <n v="56.228064516129031"/>
    <s v="OK"/>
    <m/>
    <m/>
  </r>
  <r>
    <s v="TI-2025-0138"/>
    <d v="2025-11-18T00:00:00"/>
    <s v="PT CITRA SPINNING"/>
    <x v="10"/>
    <s v="CHN"/>
    <s v="844831"/>
    <s v="Card Clothing &amp; Parts"/>
    <n v="2927"/>
    <x v="137"/>
    <x v="8"/>
    <s v="China"/>
    <x v="1"/>
    <n v="11"/>
    <n v="30.709340621797065"/>
    <s v="OK"/>
    <m/>
    <m/>
  </r>
  <r>
    <s v="TI-2025-0139"/>
    <d v="2025-07-30T00:00:00"/>
    <s v="PT JAYA TEXTILE"/>
    <x v="1"/>
    <s v="JPN"/>
    <s v="844849"/>
    <s v="Weaving Machine Parts"/>
    <n v="1039"/>
    <x v="138"/>
    <x v="9"/>
    <s v="Japan"/>
    <x v="1"/>
    <n v="7"/>
    <n v="53.169374398460057"/>
    <s v="OK"/>
    <m/>
    <m/>
  </r>
  <r>
    <s v="TI-2025-0140"/>
    <d v="2025-10-23T00:00:00"/>
    <s v="PT. ARUNA TEXTILE"/>
    <x v="2"/>
    <s v="IND"/>
    <s v="844839"/>
    <s v="Other Textile Machinery Parts"/>
    <n v="1858"/>
    <x v="139"/>
    <x v="2"/>
    <s v="India"/>
    <x v="1"/>
    <n v="10"/>
    <n v="22.997481162540367"/>
    <s v="OK"/>
    <m/>
    <m/>
  </r>
  <r>
    <s v="TI-2026-0141"/>
    <d v="2026-06-09T00:00:00"/>
    <s v="EKA TEXTILE PT"/>
    <x v="6"/>
    <s v="CHN"/>
    <s v="844839"/>
    <s v="Other Textile Machinery Parts"/>
    <n v="1961"/>
    <x v="140"/>
    <x v="3"/>
    <s v="China"/>
    <x v="2"/>
    <n v="6"/>
    <n v="39.072197858235597"/>
    <s v="OK"/>
    <m/>
    <m/>
  </r>
  <r>
    <s v="TI-2026-0142"/>
    <d v="2026-03-12T00:00:00"/>
    <s v="ARUNA TEXTILE PT"/>
    <x v="6"/>
    <s v="CHN"/>
    <s v="844831"/>
    <s v="Card Clothing &amp; Parts"/>
    <n v="824"/>
    <x v="141"/>
    <x v="2"/>
    <s v="China"/>
    <x v="2"/>
    <n v="3"/>
    <n v="42.747257281553395"/>
    <s v="OK"/>
    <m/>
    <m/>
  </r>
  <r>
    <s v="TI-2026-0143"/>
    <d v="2026-07-05T00:00:00"/>
    <s v="PT. CITRA SPINNING"/>
    <x v="10"/>
    <s v="CHN"/>
    <s v="844831"/>
    <s v="Card Clothing &amp; Parts"/>
    <n v="1738"/>
    <x v="142"/>
    <x v="8"/>
    <s v="China"/>
    <x v="2"/>
    <n v="7"/>
    <n v="35.947548906789415"/>
    <s v="OK"/>
    <m/>
    <m/>
  </r>
  <r>
    <s v="TI-2026-0144"/>
    <d v="2026-07-20T00:00:00"/>
    <s v="ARUNA TEXTILE PT"/>
    <x v="10"/>
    <s v="CHN"/>
    <s v="844630"/>
    <s v="Air-Jet Looms"/>
    <n v="0"/>
    <x v="143"/>
    <x v="2"/>
    <s v="China"/>
    <x v="2"/>
    <n v="7"/>
    <n v="0"/>
    <s v="Quantity 0"/>
    <m/>
    <m/>
  </r>
  <r>
    <s v="TI-2026-0145"/>
    <d v="2026-05-23T00:00:00"/>
    <s v="PT DAYA FABRICS"/>
    <x v="10"/>
    <s v="CHN"/>
    <s v="844630"/>
    <s v="Air-Jet Looms"/>
    <n v="808"/>
    <x v="144"/>
    <x v="0"/>
    <s v="China"/>
    <x v="2"/>
    <n v="5"/>
    <n v="95.655024752475242"/>
    <s v="OK"/>
    <m/>
    <m/>
  </r>
  <r>
    <s v="TI-2026-0146"/>
    <d v="2026-07-15T00:00:00"/>
    <s v="EKA TEXTILE PT"/>
    <x v="6"/>
    <s v="CHN"/>
    <s v="844520"/>
    <s v="Spinning Machines"/>
    <n v="492"/>
    <x v="145"/>
    <x v="3"/>
    <s v="China"/>
    <x v="2"/>
    <n v="7"/>
    <n v="49.290304878048786"/>
    <s v="OK"/>
    <m/>
    <m/>
  </r>
  <r>
    <s v="TI-2026-0147"/>
    <d v="2026-01-05T00:00:00"/>
    <s v="PT. ARUNA TEXTILE"/>
    <x v="10"/>
    <s v="CHN"/>
    <s v="844511"/>
    <s v="Carding Machines"/>
    <n v="776"/>
    <x v="146"/>
    <x v="2"/>
    <s v="China"/>
    <x v="2"/>
    <n v="1"/>
    <n v="68.509613402061859"/>
    <s v="OK"/>
    <m/>
    <m/>
  </r>
  <r>
    <s v="TI-2026-0148"/>
    <d v="2026-07-23T00:00:00"/>
    <s v="PT. ARUNA TEXTILE IND."/>
    <x v="0"/>
    <s v="JPN"/>
    <s v="844831"/>
    <s v="Card Clothing &amp; Parts"/>
    <n v="1874"/>
    <x v="147"/>
    <x v="10"/>
    <s v="Japan"/>
    <x v="2"/>
    <n v="7"/>
    <n v="33.955997865528282"/>
    <s v="Unmapped Importer"/>
    <m/>
    <m/>
  </r>
  <r>
    <s v="TI-2026-0149"/>
    <d v="2026-08-24T00:00:00"/>
    <s v="PT. INDAH WEAVING"/>
    <x v="9"/>
    <s v="DEU"/>
    <s v="844831"/>
    <s v="Card Clothing &amp; Parts"/>
    <n v="616"/>
    <x v="148"/>
    <x v="7"/>
    <s v="Germany"/>
    <x v="2"/>
    <n v="8"/>
    <n v="38.818522727272729"/>
    <s v="OK"/>
    <m/>
    <m/>
  </r>
  <r>
    <s v="TI-2026-0150"/>
    <d v="2026-04-16T00:00:00"/>
    <s v="PT. HARMONI SPINNING"/>
    <x v="0"/>
    <s v="JPN"/>
    <s v="844839"/>
    <s v="Other Textile Machinery Parts"/>
    <n v="1485"/>
    <x v="149"/>
    <x v="6"/>
    <s v="Japan"/>
    <x v="2"/>
    <n v="4"/>
    <n v="33.80520538720539"/>
    <s v="OK"/>
    <m/>
    <m/>
  </r>
  <r>
    <s v="TI-2026-0151"/>
    <d v="2026-08-17T00:00:00"/>
    <s v="PT. CITRA SPINNING"/>
    <x v="9"/>
    <s v="DEU"/>
    <s v="844849"/>
    <s v="Weaving Machine Parts"/>
    <n v="610"/>
    <x v="150"/>
    <x v="8"/>
    <s v="Germany"/>
    <x v="2"/>
    <n v="8"/>
    <n v="37.453688524590163"/>
    <s v="OK"/>
    <m/>
    <m/>
  </r>
  <r>
    <s v="TI-2026-0152"/>
    <d v="2026-08-17T00:00:00"/>
    <s v="ARUNA TEXTILE PT"/>
    <x v="10"/>
    <s v="CHN"/>
    <s v="844849"/>
    <s v="Weaving Machine Parts"/>
    <n v="2839"/>
    <x v="151"/>
    <x v="2"/>
    <s v="China"/>
    <x v="2"/>
    <n v="8"/>
    <n v="47.278911588587526"/>
    <s v="OK"/>
    <m/>
    <m/>
  </r>
  <r>
    <s v="TI-2026-0153"/>
    <d v="2026-05-20T00:00:00"/>
    <s v="PT. EKA TEXTILE"/>
    <x v="10"/>
    <s v="CHN"/>
    <s v="844849"/>
    <s v="Weaving Machine Parts"/>
    <n v="710"/>
    <x v="152"/>
    <x v="3"/>
    <s v="China"/>
    <x v="2"/>
    <n v="5"/>
    <n v="44.886253521126761"/>
    <s v="OK"/>
    <m/>
    <m/>
  </r>
  <r>
    <s v="TI-2026-0154"/>
    <d v="2026-01-04T00:00:00"/>
    <s v="CITRA SPINNING PT"/>
    <x v="8"/>
    <s v="CHE"/>
    <s v="844520"/>
    <s v="Spinning Machines"/>
    <n v="1618"/>
    <x v="153"/>
    <x v="8"/>
    <s v="Switzerland"/>
    <x v="2"/>
    <n v="1"/>
    <n v="81.123139678615573"/>
    <s v="OK"/>
    <m/>
    <m/>
  </r>
  <r>
    <s v="TI-2026-0155"/>
    <d v="2026-03-23T00:00:00"/>
    <s v="FAJAR KNITTING"/>
    <x v="1"/>
    <s v="JPN"/>
    <s v="844839"/>
    <s v="Other Textile Machinery Parts"/>
    <n v="446"/>
    <x v="154"/>
    <x v="4"/>
    <s v="Japan"/>
    <x v="2"/>
    <n v="3"/>
    <n v="33.079529147982065"/>
    <s v="OK"/>
    <m/>
    <m/>
  </r>
  <r>
    <s v="TI-2026-0156"/>
    <d v="2026-02-16T00:00:00"/>
    <s v="GEMILANG TEXTILE PT"/>
    <x v="1"/>
    <s v="JPN"/>
    <s v="844630"/>
    <s v="Air-Jet Looms"/>
    <n v="1408"/>
    <x v="155"/>
    <x v="1"/>
    <s v="Japan"/>
    <x v="2"/>
    <n v="2"/>
    <n v="95.919794034090913"/>
    <s v="OK"/>
    <m/>
    <m/>
  </r>
  <r>
    <s v="TI-2026-0157"/>
    <d v="2026-01-06T00:00:00"/>
    <s v="PT HARMONI SPINNING"/>
    <x v="0"/>
    <s v="JPN"/>
    <s v="844839"/>
    <s v="Other Textile Machinery Parts"/>
    <n v="1818"/>
    <x v="156"/>
    <x v="6"/>
    <s v="Japan"/>
    <x v="2"/>
    <n v="1"/>
    <n v="35.321578657865786"/>
    <s v="OK"/>
    <m/>
    <m/>
  </r>
  <r>
    <s v="TI-2026-0158"/>
    <d v="2026-07-27T00:00:00"/>
    <s v="PT. HARMONI SPINNING"/>
    <x v="10"/>
    <s v="CHN"/>
    <s v="844630"/>
    <s v="Air-Jet Looms"/>
    <n v="1969"/>
    <x v="157"/>
    <x v="6"/>
    <s v="China"/>
    <x v="2"/>
    <n v="7"/>
    <n v="73.59843575418995"/>
    <s v="OK"/>
    <m/>
    <m/>
  </r>
  <r>
    <s v="TI-2026-0159"/>
    <d v="2026-07-12T00:00:00"/>
    <s v="PT CITRA SPINNING"/>
    <x v="8"/>
    <s v="CHE"/>
    <s v="844839"/>
    <s v="Other Textile Machinery Parts"/>
    <n v="1294"/>
    <x v="158"/>
    <x v="8"/>
    <s v="Switzerland"/>
    <x v="2"/>
    <n v="7"/>
    <n v="28.648493044822256"/>
    <s v="OK"/>
    <m/>
    <m/>
  </r>
  <r>
    <s v="TI-2026-0160"/>
    <d v="2026-01-19T00:00:00"/>
    <s v="PT CITRA SPINNING"/>
    <x v="7"/>
    <s v="TUR"/>
    <s v="844511"/>
    <s v="Carding Machines"/>
    <n v="1436"/>
    <x v="159"/>
    <x v="8"/>
    <s v="Türkiye"/>
    <x v="2"/>
    <n v="1"/>
    <n v="70.820341225626734"/>
    <s v="OK"/>
    <m/>
    <m/>
  </r>
  <r>
    <s v="TI-2026-0161"/>
    <d v="2026-01-28T00:00:00"/>
    <s v="PT ARUNA TEXTILE"/>
    <x v="1"/>
    <s v="JPN"/>
    <s v="844511"/>
    <s v="Carding Machines"/>
    <n v="840"/>
    <x v="160"/>
    <x v="2"/>
    <s v="Japan"/>
    <x v="2"/>
    <n v="1"/>
    <n v="57.048273809523813"/>
    <s v="OK"/>
    <m/>
    <m/>
  </r>
  <r>
    <s v="TI-2026-0162"/>
    <d v="2026-02-01T00:00:00"/>
    <s v="PT ARUNA TEXTILE"/>
    <x v="10"/>
    <s v="CHN"/>
    <s v="844511"/>
    <s v="Carding Machines"/>
    <n v="1010"/>
    <x v="161"/>
    <x v="2"/>
    <s v="China"/>
    <x v="2"/>
    <n v="2"/>
    <n v="67.981920792079208"/>
    <s v="OK"/>
    <m/>
    <m/>
  </r>
  <r>
    <s v="TI-2026-0163"/>
    <d v="2026-08-11T00:00:00"/>
    <s v="BINTANG WEAVING"/>
    <x v="1"/>
    <s v="JPN"/>
    <s v="844839"/>
    <s v="Other Textile Machinery Parts"/>
    <n v="2086"/>
    <x v="162"/>
    <x v="5"/>
    <s v="Japan"/>
    <x v="2"/>
    <n v="8"/>
    <n v="39.078911792905082"/>
    <s v="OK"/>
    <m/>
    <m/>
  </r>
  <r>
    <s v="TI-2026-0164"/>
    <d v="2026-07-27T00:00:00"/>
    <s v="PT. BINTANG WEAVING"/>
    <x v="6"/>
    <s v="CHN"/>
    <s v="844520"/>
    <s v="Spinning Machines"/>
    <n v="1480"/>
    <x v="163"/>
    <x v="5"/>
    <s v="China"/>
    <x v="2"/>
    <n v="7"/>
    <n v="55.327398648648654"/>
    <s v="OK"/>
    <m/>
    <m/>
  </r>
  <r>
    <s v="TI-2026-0165"/>
    <d v="2026-03-10T00:00:00"/>
    <s v="PT. EKA TEXTILE"/>
    <x v="2"/>
    <s v="IND"/>
    <s v="844839"/>
    <s v="Other Textile Machinery Parts"/>
    <n v="1918"/>
    <x v="164"/>
    <x v="3"/>
    <s v="India"/>
    <x v="2"/>
    <n v="3"/>
    <n v="39.047320125130341"/>
    <s v="OK"/>
    <m/>
    <m/>
  </r>
  <r>
    <s v="TI-2026-0166"/>
    <d v="2026-03-19T00:00:00"/>
    <s v="PT. DAYA FABRICS"/>
    <x v="8"/>
    <s v="CHE"/>
    <s v="844511"/>
    <s v="Carding Machines"/>
    <n v="2113"/>
    <x v="165"/>
    <x v="0"/>
    <s v="Switzerland"/>
    <x v="2"/>
    <n v="3"/>
    <n v="49.109015617605301"/>
    <s v="Duplicate ID"/>
    <m/>
    <m/>
  </r>
  <r>
    <s v="TI-2026-0167"/>
    <d v="2026-05-21T00:00:00"/>
    <s v="FAJAR KNITTING"/>
    <x v="0"/>
    <s v="JPN"/>
    <s v="844520"/>
    <s v="Spinning Machines"/>
    <n v="793"/>
    <x v="166"/>
    <x v="4"/>
    <s v="Japan"/>
    <x v="2"/>
    <n v="5"/>
    <n v="58.981878940731399"/>
    <s v="OK"/>
    <m/>
    <m/>
  </r>
  <r>
    <s v="TI-2026-0168"/>
    <d v="2026-08-28T00:00:00"/>
    <s v="PT. BINTANG WEAVING"/>
    <x v="0"/>
    <s v="JPN"/>
    <s v="844511"/>
    <s v="Carding Machines"/>
    <n v="3079"/>
    <x v="167"/>
    <x v="5"/>
    <s v="Japan"/>
    <x v="2"/>
    <n v="8"/>
    <n v="67.974001299123103"/>
    <s v="OK"/>
    <m/>
    <m/>
  </r>
  <r>
    <s v="TI-2026-0169"/>
    <d v="2026-06-07T00:00:00"/>
    <s v="PT. CITRA SPINNING"/>
    <x v="2"/>
    <s v="IND"/>
    <s v="844849"/>
    <s v="Weaving Machine Parts"/>
    <n v="832"/>
    <x v="168"/>
    <x v="8"/>
    <s v="India"/>
    <x v="2"/>
    <n v="6"/>
    <n v="42.578918269230776"/>
    <s v="OK"/>
    <m/>
    <m/>
  </r>
  <r>
    <s v="TI-2026-0170"/>
    <d v="2026-08-03T00:00:00"/>
    <s v="GEMILANG TEXTILE PT"/>
    <x v="3"/>
    <s v="DEU"/>
    <s v="844849"/>
    <s v="Weaving Machine Parts"/>
    <n v="1020"/>
    <x v="169"/>
    <x v="1"/>
    <s v="Germany"/>
    <x v="2"/>
    <n v="8"/>
    <n v="32.557323529411768"/>
    <s v="OK"/>
    <m/>
    <m/>
  </r>
  <r>
    <s v="TI-2026-0171"/>
    <d v="2026-04-24T00:00:00"/>
    <s v="PT. FAJAR KNITTING"/>
    <x v="0"/>
    <s v="JPN"/>
    <s v="844839"/>
    <s v="Other Textile Machinery Parts"/>
    <n v="2497"/>
    <x v="170"/>
    <x v="4"/>
    <s v="Japan"/>
    <x v="2"/>
    <n v="4"/>
    <n v="26.573139767721269"/>
    <s v="OK"/>
    <m/>
    <m/>
  </r>
  <r>
    <s v="TI-2026-0172"/>
    <d v="2026-06-10T00:00:00"/>
    <s v="PT. ARUNA TEXTILE IND."/>
    <x v="10"/>
    <s v="CHN"/>
    <s v="844839"/>
    <s v="Other Textile Machinery Parts"/>
    <n v="1564"/>
    <x v="171"/>
    <x v="10"/>
    <s v="China"/>
    <x v="2"/>
    <n v="6"/>
    <n v="29.943414322250639"/>
    <s v="Unmapped Importer"/>
    <m/>
    <m/>
  </r>
  <r>
    <s v="TI-2026-0173"/>
    <d v="2026-06-09T00:00:00"/>
    <s v="PT. CITRA SPINNING"/>
    <x v="6"/>
    <s v="CHN"/>
    <s v="844839"/>
    <s v="Other Textile Machinery Parts"/>
    <n v="1079"/>
    <x v="172"/>
    <x v="8"/>
    <s v="China"/>
    <x v="2"/>
    <n v="6"/>
    <n v="22.700222428174236"/>
    <s v="OK"/>
    <m/>
    <m/>
  </r>
  <r>
    <s v="TI-2026-0174"/>
    <d v="2026-08-23T00:00:00"/>
    <s v="PT. EKA TEXTILE"/>
    <x v="4"/>
    <s v="TUR"/>
    <s v="844839"/>
    <s v="Other Textile Machinery Parts"/>
    <n v="1289"/>
    <x v="173"/>
    <x v="3"/>
    <s v="Türkiye"/>
    <x v="2"/>
    <n v="8"/>
    <n v="37.11197051978278"/>
    <s v="OK"/>
    <m/>
    <m/>
  </r>
  <r>
    <s v="TI-2026-0175"/>
    <d v="2026-08-23T00:00:00"/>
    <s v="GEMILANG TEXTILE PT"/>
    <x v="7"/>
    <s v="TUR"/>
    <s v="844839"/>
    <s v="Other Textile Machinery Parts"/>
    <n v="1256"/>
    <x v="174"/>
    <x v="1"/>
    <s v="Türkiye"/>
    <x v="2"/>
    <n v="8"/>
    <n v="34.235652866242042"/>
    <s v="OK"/>
    <m/>
    <m/>
  </r>
  <r>
    <s v="TI-2026-0176"/>
    <d v="2026-07-28T00:00:00"/>
    <s v="PT ARUNA TEXTILE"/>
    <x v="4"/>
    <s v="TUR"/>
    <s v="844831"/>
    <s v="Card Clothing &amp; Parts"/>
    <n v="594"/>
    <x v="175"/>
    <x v="2"/>
    <s v="Türkiye"/>
    <x v="2"/>
    <n v="7"/>
    <n v="32.272121212121213"/>
    <s v="OK"/>
    <m/>
    <m/>
  </r>
  <r>
    <s v="TI-2026-0177"/>
    <d v="2026-08-25T00:00:00"/>
    <s v="PT. CITRA SPINNING"/>
    <x v="6"/>
    <s v="CHN"/>
    <s v="844520"/>
    <s v="Spinning Machines"/>
    <n v="1001"/>
    <x v="176"/>
    <x v="8"/>
    <s v="China"/>
    <x v="2"/>
    <n v="8"/>
    <n v="53.717392607392611"/>
    <s v="OK"/>
    <m/>
    <m/>
  </r>
  <r>
    <s v="TI-2026-0178"/>
    <d v="2026-07-17T00:00:00"/>
    <s v="BINTANG WEAVING"/>
    <x v="9"/>
    <s v="DEU"/>
    <s v="844839"/>
    <s v="Other Textile Machinery Parts"/>
    <n v="887"/>
    <x v="177"/>
    <x v="5"/>
    <s v="Germany"/>
    <x v="2"/>
    <n v="7"/>
    <n v="38.875208568207441"/>
    <s v="OK"/>
    <m/>
    <m/>
  </r>
  <r>
    <s v="TI-2026-0179"/>
    <d v="2026-07-27T00:00:00"/>
    <s v="BINTANG WEAVING"/>
    <x v="10"/>
    <s v="CHN"/>
    <s v="844831"/>
    <s v="Card Clothing &amp; Parts"/>
    <n v="645"/>
    <x v="178"/>
    <x v="5"/>
    <s v="China"/>
    <x v="2"/>
    <n v="7"/>
    <n v="33.443178294573642"/>
    <s v="OK"/>
    <m/>
    <m/>
  </r>
  <r>
    <s v="TI-2026-0180"/>
    <d v="2026-07-06T00:00:00"/>
    <s v="ARUNA TEXTILE PT"/>
    <x v="0"/>
    <s v="JPN"/>
    <s v="844511"/>
    <s v="Carding Machines"/>
    <n v="766"/>
    <x v="179"/>
    <x v="2"/>
    <s v="Japan"/>
    <x v="2"/>
    <n v="7"/>
    <n v="41.73022193211488"/>
    <s v="OK"/>
    <m/>
    <m/>
  </r>
  <r>
    <s v="TI-2026-0181"/>
    <d v="2026-07-24T00:00:00"/>
    <s v="PT BINTANG WEAVING"/>
    <x v="10"/>
    <s v="CHN"/>
    <s v="844831"/>
    <s v="Card Clothing &amp; Parts"/>
    <n v="2282"/>
    <x v="180"/>
    <x v="5"/>
    <s v="China"/>
    <x v="2"/>
    <n v="7"/>
    <n v="47.564031551270816"/>
    <s v="OK"/>
    <m/>
    <m/>
  </r>
  <r>
    <s v="TI-2026-0182"/>
    <d v="2026-04-04T00:00:00"/>
    <s v="PT GEMILANG TEXTILE"/>
    <x v="3"/>
    <s v="DEU"/>
    <s v="844511"/>
    <s v="Carding Machines"/>
    <n v="1850"/>
    <x v="181"/>
    <x v="1"/>
    <s v="Germany"/>
    <x v="2"/>
    <n v="4"/>
    <n v="61.906248648648649"/>
    <s v="OK"/>
    <m/>
    <m/>
  </r>
  <r>
    <s v="TI-2026-0183"/>
    <d v="2026-04-15T00:00:00"/>
    <s v="ARUNA TEXTILE PT"/>
    <x v="1"/>
    <s v="JPN"/>
    <s v="844849"/>
    <s v="Weaving Machine Parts"/>
    <n v="2815"/>
    <x v="182"/>
    <x v="2"/>
    <s v="Japan"/>
    <x v="2"/>
    <n v="4"/>
    <n v="33.782010657193609"/>
    <s v="OK"/>
    <m/>
    <m/>
  </r>
  <r>
    <s v="TI-2026-0184"/>
    <d v="2026-01-09T00:00:00"/>
    <s v="PT EKA TEXTILE"/>
    <x v="4"/>
    <s v="TUR"/>
    <s v="844839"/>
    <s v="Other Textile Machinery Parts"/>
    <n v="914"/>
    <x v="183"/>
    <x v="3"/>
    <s v="Türkiye"/>
    <x v="2"/>
    <n v="1"/>
    <n v="39.081652078774617"/>
    <s v="OK"/>
    <m/>
    <m/>
  </r>
  <r>
    <s v="TI-2026-0185"/>
    <d v="2026-08-15T00:00:00"/>
    <s v="PT ARUNA TEXTILE"/>
    <x v="1"/>
    <s v="JPN"/>
    <s v="844511"/>
    <s v="Carding Machines"/>
    <n v="804"/>
    <x v="184"/>
    <x v="2"/>
    <s v="Japan"/>
    <x v="2"/>
    <n v="8"/>
    <n v="62.56832089552239"/>
    <s v="OK"/>
    <m/>
    <m/>
  </r>
  <r>
    <s v="TI-2026-0186"/>
    <d v="2026-02-13T00:00:00"/>
    <s v="PT CITRA SPINNING"/>
    <x v="0"/>
    <s v="JPN"/>
    <s v="844831"/>
    <s v="Card Clothing &amp; Parts"/>
    <n v="1446"/>
    <x v="185"/>
    <x v="8"/>
    <s v="Japan"/>
    <x v="2"/>
    <n v="2"/>
    <n v="37.484903181189487"/>
    <s v="OK"/>
    <m/>
    <m/>
  </r>
  <r>
    <s v="TI-2026-0187"/>
    <d v="2026-08-20T00:00:00"/>
    <s v="HARMONI SPINNING"/>
    <x v="4"/>
    <s v="TUR"/>
    <s v="844831"/>
    <s v="Card Clothing &amp; Parts"/>
    <n v="883"/>
    <x v="186"/>
    <x v="6"/>
    <s v="Türkiye"/>
    <x v="2"/>
    <n v="8"/>
    <n v="40.407610419026042"/>
    <s v="OK"/>
    <m/>
    <m/>
  </r>
  <r>
    <s v="TI-2026-0188"/>
    <d v="2026-02-24T00:00:00"/>
    <s v="PT. CITRA SPINNING"/>
    <x v="1"/>
    <s v="JPN"/>
    <s v="844630"/>
    <s v="Air-Jet Looms"/>
    <n v="923"/>
    <x v="187"/>
    <x v="8"/>
    <s v="Japan"/>
    <x v="2"/>
    <n v="2"/>
    <n v="120.57115926327194"/>
    <s v="OK"/>
    <m/>
    <m/>
  </r>
  <r>
    <s v="TI-2026-0189"/>
    <d v="2026-05-13T00:00:00"/>
    <s v="PT. CITRA SPINNING"/>
    <x v="5"/>
    <s v="IND"/>
    <s v="844511"/>
    <s v="Carding Machines"/>
    <n v="3713"/>
    <x v="188"/>
    <x v="8"/>
    <s v="India"/>
    <x v="2"/>
    <n v="5"/>
    <n v="41.811007271747911"/>
    <s v="OK"/>
    <m/>
    <m/>
  </r>
  <r>
    <s v="TI-2026-0190"/>
    <d v="2026-04-27T00:00:00"/>
    <s v="PT ARUNA TEXTILE"/>
    <x v="5"/>
    <s v="IND"/>
    <s v="844839"/>
    <s v="Other Textile Machinery Parts"/>
    <n v="1099"/>
    <x v="189"/>
    <x v="2"/>
    <s v="India"/>
    <x v="2"/>
    <n v="4"/>
    <n v="35.654467697907194"/>
    <s v="OK"/>
    <m/>
    <m/>
  </r>
  <r>
    <s v="TI-2024-0019"/>
    <d v="2024-10-27T00:00:00"/>
    <s v="PT. HARMONI SPINNING"/>
    <x v="9"/>
    <s v="DEU"/>
    <s v="844849"/>
    <s v="Weaving Machine Parts"/>
    <n v="1285"/>
    <x v="18"/>
    <x v="6"/>
    <s v="Germany"/>
    <x v="0"/>
    <n v="10"/>
    <n v="36.879984435797667"/>
    <s v="Duplicate ID"/>
    <m/>
    <m/>
  </r>
  <r>
    <s v="TI-2025-0097"/>
    <d v="2025-10-14T00:00:00"/>
    <s v="PT CITRA SPINNING"/>
    <x v="1"/>
    <s v="JPN"/>
    <s v="844520"/>
    <s v="Spinning Machines"/>
    <n v="1373"/>
    <x v="96"/>
    <x v="8"/>
    <s v="Japan"/>
    <x v="1"/>
    <n v="10"/>
    <n v="77.270182083029866"/>
    <s v="Duplicate ID"/>
    <m/>
    <m/>
  </r>
  <r>
    <s v="TI-2026-0166"/>
    <d v="2026-03-19T00:00:00"/>
    <s v="PT. DAYA FABRICS"/>
    <x v="8"/>
    <s v="CHE"/>
    <s v="844511"/>
    <s v="Carding Machines"/>
    <n v="2113"/>
    <x v="165"/>
    <x v="0"/>
    <s v="Switzerland"/>
    <x v="2"/>
    <n v="3"/>
    <n v="49.109015617605301"/>
    <s v="Duplicate ID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65FCD-D2B1-4534-98F9-553342E4A447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17">
    <pivotField showAll="0"/>
    <pivotField numFmtId="164" showAll="0"/>
    <pivotField showAll="0"/>
    <pivotField axis="axisRow" showAll="0" measureFilter="1">
      <items count="13">
        <item x="4"/>
        <item x="9"/>
        <item x="2"/>
        <item x="8"/>
        <item x="7"/>
        <item x="6"/>
        <item x="5"/>
        <item x="0"/>
        <item x="1"/>
        <item x="3"/>
        <item x="10"/>
        <item x="11"/>
        <item t="default"/>
      </items>
    </pivotField>
    <pivotField showAll="0"/>
    <pivotField showAll="0"/>
    <pivotField showAll="0"/>
    <pivotField numFmtId="3" showAll="0"/>
    <pivotField dataField="1" numFmtId="165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numFmtId="2" showAll="0"/>
    <pivotField showAll="0"/>
    <pivotField showAll="0"/>
    <pivotField showAll="0"/>
  </pivotFields>
  <rowFields count="1">
    <field x="3"/>
  </rowFields>
  <rowItems count="6">
    <i>
      <x v="3"/>
    </i>
    <i>
      <x v="5"/>
    </i>
    <i>
      <x v="7"/>
    </i>
    <i>
      <x v="8"/>
    </i>
    <i>
      <x v="10"/>
    </i>
    <i t="grand">
      <x/>
    </i>
  </rowItems>
  <colItems count="1">
    <i/>
  </colItems>
  <pageFields count="1">
    <pageField fld="11" item="2" hier="-1"/>
  </pageFields>
  <dataFields count="1">
    <dataField name="Sum of Import Value (USD)" fld="8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C954C-4AA5-42B5-AF51-410A5E202CBD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10" firstHeaderRow="1" firstDataRow="1" firstDataCol="1" rowPageCount="1" colPageCount="1"/>
  <pivotFields count="17">
    <pivotField showAll="0"/>
    <pivotField numFmtId="164" showAll="0"/>
    <pivotField showAll="0"/>
    <pivotField showAll="0"/>
    <pivotField showAll="0"/>
    <pivotField showAll="0"/>
    <pivotField showAll="0"/>
    <pivotField numFmtId="3" showAll="0"/>
    <pivotField dataField="1" numFmtId="165" showAll="0">
      <items count="191">
        <item x="76"/>
        <item x="12"/>
        <item x="154"/>
        <item x="126"/>
        <item x="43"/>
        <item x="111"/>
        <item x="51"/>
        <item x="175"/>
        <item x="19"/>
        <item x="21"/>
        <item x="38"/>
        <item x="178"/>
        <item x="8"/>
        <item x="48"/>
        <item x="64"/>
        <item x="150"/>
        <item x="85"/>
        <item x="35"/>
        <item x="148"/>
        <item x="145"/>
        <item x="172"/>
        <item x="100"/>
        <item x="125"/>
        <item x="6"/>
        <item x="32"/>
        <item x="122"/>
        <item x="127"/>
        <item x="63"/>
        <item x="86"/>
        <item x="134"/>
        <item x="152"/>
        <item x="179"/>
        <item x="53"/>
        <item x="49"/>
        <item x="120"/>
        <item x="62"/>
        <item x="7"/>
        <item x="169"/>
        <item x="115"/>
        <item x="177"/>
        <item x="119"/>
        <item x="55"/>
        <item x="82"/>
        <item x="141"/>
        <item x="105"/>
        <item x="168"/>
        <item x="186"/>
        <item x="183"/>
        <item x="158"/>
        <item x="28"/>
        <item x="79"/>
        <item x="101"/>
        <item x="189"/>
        <item x="133"/>
        <item x="73"/>
        <item x="4"/>
        <item x="135"/>
        <item x="65"/>
        <item x="16"/>
        <item x="66"/>
        <item x="139"/>
        <item x="174"/>
        <item x="131"/>
        <item x="166"/>
        <item x="171"/>
        <item x="94"/>
        <item x="18"/>
        <item x="3"/>
        <item x="37"/>
        <item x="173"/>
        <item x="160"/>
        <item x="75"/>
        <item x="72"/>
        <item x="59"/>
        <item x="91"/>
        <item x="149"/>
        <item x="41"/>
        <item x="184"/>
        <item x="50"/>
        <item x="121"/>
        <item x="52"/>
        <item x="24"/>
        <item x="146"/>
        <item x="176"/>
        <item x="185"/>
        <item x="15"/>
        <item x="9"/>
        <item x="138"/>
        <item x="84"/>
        <item x="103"/>
        <item x="113"/>
        <item x="1"/>
        <item x="67"/>
        <item x="80"/>
        <item x="116"/>
        <item x="74"/>
        <item x="56"/>
        <item x="71"/>
        <item x="25"/>
        <item x="97"/>
        <item x="0"/>
        <item x="142"/>
        <item x="104"/>
        <item x="108"/>
        <item x="14"/>
        <item x="89"/>
        <item x="147"/>
        <item x="39"/>
        <item x="156"/>
        <item x="112"/>
        <item x="93"/>
        <item x="70"/>
        <item x="170"/>
        <item x="128"/>
        <item x="95"/>
        <item x="161"/>
        <item x="58"/>
        <item x="40"/>
        <item x="69"/>
        <item x="109"/>
        <item x="164"/>
        <item x="140"/>
        <item x="144"/>
        <item x="44"/>
        <item x="129"/>
        <item x="20"/>
        <item x="36"/>
        <item x="60"/>
        <item x="123"/>
        <item x="2"/>
        <item x="11"/>
        <item x="30"/>
        <item x="33"/>
        <item x="114"/>
        <item x="162"/>
        <item x="163"/>
        <item x="92"/>
        <item x="98"/>
        <item x="77"/>
        <item x="17"/>
        <item x="78"/>
        <item x="117"/>
        <item x="61"/>
        <item x="45"/>
        <item x="137"/>
        <item x="87"/>
        <item x="5"/>
        <item x="110"/>
        <item x="182"/>
        <item x="29"/>
        <item x="118"/>
        <item x="83"/>
        <item x="159"/>
        <item x="165"/>
        <item x="143"/>
        <item x="96"/>
        <item x="136"/>
        <item x="10"/>
        <item x="180"/>
        <item x="187"/>
        <item x="90"/>
        <item x="181"/>
        <item x="99"/>
        <item x="46"/>
        <item x="124"/>
        <item x="31"/>
        <item x="81"/>
        <item x="153"/>
        <item x="13"/>
        <item x="151"/>
        <item x="155"/>
        <item x="57"/>
        <item x="132"/>
        <item x="27"/>
        <item x="68"/>
        <item x="106"/>
        <item x="157"/>
        <item x="107"/>
        <item x="54"/>
        <item x="26"/>
        <item x="102"/>
        <item x="188"/>
        <item x="23"/>
        <item x="22"/>
        <item x="34"/>
        <item x="88"/>
        <item x="47"/>
        <item x="167"/>
        <item x="42"/>
        <item x="130"/>
        <item t="default"/>
      </items>
    </pivotField>
    <pivotField axis="axisRow" showAll="0" measureFilter="1">
      <items count="12">
        <item x="2"/>
        <item x="5"/>
        <item x="8"/>
        <item x="0"/>
        <item x="3"/>
        <item x="4"/>
        <item x="1"/>
        <item x="6"/>
        <item x="7"/>
        <item x="9"/>
        <item x="10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numFmtId="2"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6"/>
    </i>
    <i>
      <x v="7"/>
    </i>
    <i t="grand">
      <x/>
    </i>
  </rowItems>
  <colItems count="1">
    <i/>
  </colItems>
  <pageFields count="1">
    <pageField fld="11" item="2" hier="-1"/>
  </pageFields>
  <dataFields count="1">
    <dataField name="Sum of Import Value (USD)" fld="8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I194" totalsRowShown="0">
  <tableColumns count="9">
    <tableColumn id="1" xr3:uid="{00000000-0010-0000-0000-000001000000}" name="Shipment ID"/>
    <tableColumn id="2" xr3:uid="{00000000-0010-0000-0000-000002000000}" name="Import Date"/>
    <tableColumn id="3" xr3:uid="{00000000-0010-0000-0000-000003000000}" name="Raw Importer Name"/>
    <tableColumn id="4" xr3:uid="{00000000-0010-0000-0000-000004000000}" name="Exporter Name"/>
    <tableColumn id="5" xr3:uid="{00000000-0010-0000-0000-000005000000}" name="Country Code"/>
    <tableColumn id="6" xr3:uid="{00000000-0010-0000-0000-000006000000}" name="HS Code"/>
    <tableColumn id="7" xr3:uid="{00000000-0010-0000-0000-000007000000}" name="Product Category"/>
    <tableColumn id="8" xr3:uid="{00000000-0010-0000-0000-000008000000}" name="Quantity (KG)"/>
    <tableColumn id="9" xr3:uid="{00000000-0010-0000-0000-000009000000}" name="Import Value (US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ImporterMapTable" displayName="ImporterMapTable" ref="A1:B31" totalsRowShown="0">
  <tableColumns count="2">
    <tableColumn id="1" xr3:uid="{00000000-0010-0000-0100-000001000000}" name="Raw Importer Name"/>
    <tableColumn id="2" xr3:uid="{00000000-0010-0000-0100-000002000000}" name="Standard Impor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ountryMapTable" displayName="CountryMapTable" ref="A1:B7" totalsRowShown="0">
  <tableColumns count="2">
    <tableColumn id="1" xr3:uid="{00000000-0010-0000-0200-000001000000}" name="Country Code"/>
    <tableColumn id="2" xr3:uid="{00000000-0010-0000-0200-000002000000}" name="Country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WorkAreaTable" displayName="WorkAreaTable" ref="A1:Q194" totalsRowShown="0">
  <tableColumns count="17">
    <tableColumn id="1" xr3:uid="{00000000-0010-0000-0300-000001000000}" name="Shipment ID"/>
    <tableColumn id="2" xr3:uid="{00000000-0010-0000-0300-000002000000}" name="Import Date"/>
    <tableColumn id="3" xr3:uid="{00000000-0010-0000-0300-000003000000}" name="Raw Importer Name"/>
    <tableColumn id="4" xr3:uid="{00000000-0010-0000-0300-000004000000}" name="Exporter Name"/>
    <tableColumn id="5" xr3:uid="{00000000-0010-0000-0300-000005000000}" name="Country Code"/>
    <tableColumn id="6" xr3:uid="{00000000-0010-0000-0300-000006000000}" name="HS Code"/>
    <tableColumn id="7" xr3:uid="{00000000-0010-0000-0300-000007000000}" name="Product Category"/>
    <tableColumn id="8" xr3:uid="{00000000-0010-0000-0300-000008000000}" name="Quantity (KG)"/>
    <tableColumn id="9" xr3:uid="{00000000-0010-0000-0300-000009000000}" name="Import Value (USD)"/>
    <tableColumn id="10" xr3:uid="{00000000-0010-0000-0300-00000A000000}" name="Standard Importer" dataDxfId="7">
      <calculatedColumnFormula>IFERROR(VLOOKUP(C2, Master_Importer!$A:$B, 2, FALSE), "Unmapped Importer")</calculatedColumnFormula>
    </tableColumn>
    <tableColumn id="11" xr3:uid="{00000000-0010-0000-0300-00000B000000}" name="Country Name" dataDxfId="6">
      <calculatedColumnFormula>VLOOKUP(E2,CountryMapTable[#All],2,FALSE)</calculatedColumnFormula>
    </tableColumn>
    <tableColumn id="12" xr3:uid="{00000000-0010-0000-0300-00000C000000}" name="Year" dataDxfId="5">
      <calculatedColumnFormula>YEAR(B2)</calculatedColumnFormula>
    </tableColumn>
    <tableColumn id="13" xr3:uid="{00000000-0010-0000-0300-00000D000000}" name="Month" dataDxfId="4">
      <calculatedColumnFormula>MONTH(B2)</calculatedColumnFormula>
    </tableColumn>
    <tableColumn id="14" xr3:uid="{00000000-0010-0000-0300-00000E000000}" name="Unit Value (USD/KG)" dataDxfId="3">
      <calculatedColumnFormula>IFERROR(WorkAreaTable[[#This Row],[Import Value (USD)]]/WorkAreaTable[[#This Row],[Quantity (KG)]],0)</calculatedColumnFormula>
    </tableColumn>
    <tableColumn id="15" xr3:uid="{00000000-0010-0000-0300-00000F000000}" name="Data Quality Flag" dataDxfId="2">
      <calculatedColumnFormula>IF(COUNTIF(A:A, A2)&gt;1, "Duplicate ID", IF(H2=0, "Quantity 0", IF(ISNA(VLOOKUP(C2, Master_Importer!$A:$B, 2, FALSE)), "Unmapped Importer", "OK")))</calculatedColumnFormula>
    </tableColumn>
    <tableColumn id="18" xr3:uid="{A2A6ED63-BB53-4A8B-82E0-AB24649B3724}" name="Top Importer" dataDxfId="1"/>
    <tableColumn id="19" xr3:uid="{E80D0514-91A9-4842-B698-CA70E3772A14}" name="Top Expor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4"/>
  <sheetViews>
    <sheetView tabSelected="1" topLeftCell="C1" workbookViewId="0">
      <selection activeCell="L16" sqref="L16"/>
    </sheetView>
  </sheetViews>
  <sheetFormatPr defaultRowHeight="13.8"/>
  <cols>
    <col min="1" max="1" width="11.59765625" bestFit="1" customWidth="1"/>
    <col min="2" max="2" width="11.3984375" bestFit="1" customWidth="1"/>
    <col min="3" max="3" width="23.09765625" bestFit="1" customWidth="1"/>
    <col min="4" max="4" width="23.69921875" bestFit="1" customWidth="1"/>
    <col min="5" max="5" width="12.5" bestFit="1" customWidth="1"/>
    <col min="6" max="6" width="8.3984375" bestFit="1" customWidth="1"/>
    <col min="7" max="7" width="24.59765625" bestFit="1" customWidth="1"/>
    <col min="8" max="8" width="12.19921875" bestFit="1" customWidth="1"/>
    <col min="9" max="9" width="17.09765625" bestFit="1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t="s">
        <v>9</v>
      </c>
      <c r="B2" s="3">
        <v>45339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4">
        <v>1298</v>
      </c>
      <c r="I2" s="5">
        <v>62179.86</v>
      </c>
    </row>
    <row r="3" spans="1:9">
      <c r="A3" t="s">
        <v>15</v>
      </c>
      <c r="B3" s="3">
        <v>45314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s="4">
        <v>1317</v>
      </c>
      <c r="I3" s="5">
        <v>57625.120000000003</v>
      </c>
    </row>
    <row r="4" spans="1:9">
      <c r="A4" t="s">
        <v>20</v>
      </c>
      <c r="B4" s="3">
        <v>45605</v>
      </c>
      <c r="C4" t="s">
        <v>21</v>
      </c>
      <c r="D4" t="s">
        <v>22</v>
      </c>
      <c r="E4" t="s">
        <v>23</v>
      </c>
      <c r="F4" t="s">
        <v>18</v>
      </c>
      <c r="G4" t="s">
        <v>19</v>
      </c>
      <c r="H4" s="4">
        <v>1819</v>
      </c>
      <c r="I4" s="5">
        <v>80071.23</v>
      </c>
    </row>
    <row r="5" spans="1:9">
      <c r="A5" t="s">
        <v>24</v>
      </c>
      <c r="B5" s="3">
        <v>45292</v>
      </c>
      <c r="C5" t="s">
        <v>25</v>
      </c>
      <c r="D5" t="s">
        <v>11</v>
      </c>
      <c r="E5" t="s">
        <v>12</v>
      </c>
      <c r="F5" t="s">
        <v>18</v>
      </c>
      <c r="G5" t="s">
        <v>19</v>
      </c>
      <c r="H5" s="4">
        <v>826</v>
      </c>
      <c r="I5" s="5">
        <v>47488.45</v>
      </c>
    </row>
    <row r="6" spans="1:9">
      <c r="A6" t="s">
        <v>26</v>
      </c>
      <c r="B6" s="3">
        <v>45430</v>
      </c>
      <c r="C6" t="s">
        <v>27</v>
      </c>
      <c r="D6" t="s">
        <v>28</v>
      </c>
      <c r="E6" t="s">
        <v>29</v>
      </c>
      <c r="F6" t="s">
        <v>13</v>
      </c>
      <c r="G6" t="s">
        <v>14</v>
      </c>
      <c r="H6" s="4">
        <v>597</v>
      </c>
      <c r="I6" s="5">
        <v>40039.919999999998</v>
      </c>
    </row>
    <row r="7" spans="1:9">
      <c r="A7" t="s">
        <v>30</v>
      </c>
      <c r="B7" s="3">
        <v>45412</v>
      </c>
      <c r="C7" t="s">
        <v>31</v>
      </c>
      <c r="D7" t="s">
        <v>17</v>
      </c>
      <c r="E7" t="s">
        <v>12</v>
      </c>
      <c r="F7" t="s">
        <v>32</v>
      </c>
      <c r="G7" t="s">
        <v>33</v>
      </c>
      <c r="H7" s="4">
        <v>1857</v>
      </c>
      <c r="I7" s="5">
        <v>92132.34</v>
      </c>
    </row>
    <row r="8" spans="1:9">
      <c r="A8" t="s">
        <v>34</v>
      </c>
      <c r="B8" s="3">
        <v>45578</v>
      </c>
      <c r="C8" t="s">
        <v>35</v>
      </c>
      <c r="D8" t="s">
        <v>36</v>
      </c>
      <c r="E8" t="s">
        <v>37</v>
      </c>
      <c r="F8" t="s">
        <v>32</v>
      </c>
      <c r="G8" t="s">
        <v>33</v>
      </c>
      <c r="H8" s="4">
        <v>580</v>
      </c>
      <c r="I8" s="5">
        <v>27198.97</v>
      </c>
    </row>
    <row r="9" spans="1:9">
      <c r="A9" t="s">
        <v>38</v>
      </c>
      <c r="B9" s="3">
        <v>45353</v>
      </c>
      <c r="C9" t="s">
        <v>25</v>
      </c>
      <c r="D9" t="s">
        <v>36</v>
      </c>
      <c r="E9" t="s">
        <v>37</v>
      </c>
      <c r="F9" t="s">
        <v>32</v>
      </c>
      <c r="G9" t="s">
        <v>33</v>
      </c>
      <c r="H9" s="4">
        <v>810</v>
      </c>
      <c r="I9" s="5">
        <v>32785.230000000003</v>
      </c>
    </row>
    <row r="10" spans="1:9">
      <c r="A10" t="s">
        <v>39</v>
      </c>
      <c r="B10" s="3">
        <v>45296</v>
      </c>
      <c r="C10" t="s">
        <v>31</v>
      </c>
      <c r="D10" t="s">
        <v>40</v>
      </c>
      <c r="E10" t="s">
        <v>23</v>
      </c>
      <c r="F10" t="s">
        <v>41</v>
      </c>
      <c r="G10" t="s">
        <v>42</v>
      </c>
      <c r="H10" s="4">
        <v>642</v>
      </c>
      <c r="I10" s="5">
        <v>21876.81</v>
      </c>
    </row>
    <row r="11" spans="1:9">
      <c r="A11" t="s">
        <v>43</v>
      </c>
      <c r="B11" s="3">
        <v>45429</v>
      </c>
      <c r="C11" t="s">
        <v>44</v>
      </c>
      <c r="D11" t="s">
        <v>17</v>
      </c>
      <c r="E11" t="s">
        <v>12</v>
      </c>
      <c r="F11" t="s">
        <v>45</v>
      </c>
      <c r="G11" t="s">
        <v>46</v>
      </c>
      <c r="H11" s="4">
        <v>1587</v>
      </c>
      <c r="I11" s="5">
        <v>54603.61</v>
      </c>
    </row>
    <row r="12" spans="1:9">
      <c r="A12" t="s">
        <v>47</v>
      </c>
      <c r="B12" s="3">
        <v>45447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s="4">
        <v>951</v>
      </c>
      <c r="I12" s="5">
        <v>106619.06</v>
      </c>
    </row>
    <row r="13" spans="1:9">
      <c r="A13" t="s">
        <v>53</v>
      </c>
      <c r="B13" s="3">
        <v>45293</v>
      </c>
      <c r="C13" t="s">
        <v>54</v>
      </c>
      <c r="D13" t="s">
        <v>17</v>
      </c>
      <c r="E13" t="s">
        <v>12</v>
      </c>
      <c r="F13" t="s">
        <v>13</v>
      </c>
      <c r="G13" t="s">
        <v>14</v>
      </c>
      <c r="H13" s="4">
        <v>1119</v>
      </c>
      <c r="I13" s="5">
        <v>80876.12</v>
      </c>
    </row>
    <row r="14" spans="1:9">
      <c r="A14" t="s">
        <v>55</v>
      </c>
      <c r="B14" s="3">
        <v>45493</v>
      </c>
      <c r="C14" t="s">
        <v>56</v>
      </c>
      <c r="D14" t="s">
        <v>57</v>
      </c>
      <c r="E14" t="s">
        <v>37</v>
      </c>
      <c r="F14" t="s">
        <v>45</v>
      </c>
      <c r="G14" t="s">
        <v>46</v>
      </c>
      <c r="H14" s="4">
        <v>613</v>
      </c>
      <c r="I14" s="5">
        <v>14405.31</v>
      </c>
    </row>
    <row r="15" spans="1:9">
      <c r="A15" t="s">
        <v>58</v>
      </c>
      <c r="B15" s="3">
        <v>45445</v>
      </c>
      <c r="C15" t="s">
        <v>35</v>
      </c>
      <c r="D15" t="s">
        <v>59</v>
      </c>
      <c r="E15" t="s">
        <v>60</v>
      </c>
      <c r="F15" t="s">
        <v>51</v>
      </c>
      <c r="G15" t="s">
        <v>52</v>
      </c>
      <c r="H15" s="4">
        <v>1392</v>
      </c>
      <c r="I15" s="5">
        <v>133347.73000000001</v>
      </c>
    </row>
    <row r="16" spans="1:9">
      <c r="A16" t="s">
        <v>61</v>
      </c>
      <c r="B16" s="3">
        <v>45404</v>
      </c>
      <c r="C16" t="s">
        <v>48</v>
      </c>
      <c r="D16" t="s">
        <v>49</v>
      </c>
      <c r="E16" t="s">
        <v>50</v>
      </c>
      <c r="F16" t="s">
        <v>18</v>
      </c>
      <c r="G16" t="s">
        <v>19</v>
      </c>
      <c r="H16" s="4">
        <v>1045</v>
      </c>
      <c r="I16" s="5">
        <v>63182.64</v>
      </c>
    </row>
    <row r="17" spans="1:9">
      <c r="A17" t="s">
        <v>62</v>
      </c>
      <c r="B17" s="3">
        <v>45573</v>
      </c>
      <c r="C17" t="s">
        <v>63</v>
      </c>
      <c r="D17" t="s">
        <v>49</v>
      </c>
      <c r="E17" t="s">
        <v>50</v>
      </c>
      <c r="F17" t="s">
        <v>41</v>
      </c>
      <c r="G17" t="s">
        <v>42</v>
      </c>
      <c r="H17" s="4">
        <v>1410</v>
      </c>
      <c r="I17" s="5">
        <v>54284.53</v>
      </c>
    </row>
    <row r="18" spans="1:9">
      <c r="A18" t="s">
        <v>64</v>
      </c>
      <c r="B18" s="3">
        <v>45518</v>
      </c>
      <c r="C18" t="s">
        <v>16</v>
      </c>
      <c r="D18" t="s">
        <v>65</v>
      </c>
      <c r="E18" t="s">
        <v>29</v>
      </c>
      <c r="F18" t="s">
        <v>45</v>
      </c>
      <c r="G18" t="s">
        <v>46</v>
      </c>
      <c r="H18" s="4">
        <v>1704</v>
      </c>
      <c r="I18" s="5">
        <v>41278.78</v>
      </c>
    </row>
    <row r="19" spans="1:9">
      <c r="A19" t="s">
        <v>66</v>
      </c>
      <c r="B19" s="3">
        <v>45397</v>
      </c>
      <c r="C19" t="s">
        <v>48</v>
      </c>
      <c r="D19" t="s">
        <v>67</v>
      </c>
      <c r="E19" t="s">
        <v>50</v>
      </c>
      <c r="F19" t="s">
        <v>18</v>
      </c>
      <c r="G19" t="s">
        <v>19</v>
      </c>
      <c r="H19" s="4">
        <v>1776</v>
      </c>
      <c r="I19" s="5">
        <v>84059.35</v>
      </c>
    </row>
    <row r="20" spans="1:9">
      <c r="A20" t="s">
        <v>68</v>
      </c>
      <c r="B20" s="3">
        <v>45592</v>
      </c>
      <c r="C20" t="s">
        <v>69</v>
      </c>
      <c r="D20" t="s">
        <v>65</v>
      </c>
      <c r="E20" t="s">
        <v>29</v>
      </c>
      <c r="F20" t="s">
        <v>32</v>
      </c>
      <c r="G20" t="s">
        <v>33</v>
      </c>
      <c r="H20" s="4">
        <v>1285</v>
      </c>
      <c r="I20" s="5">
        <v>47390.78</v>
      </c>
    </row>
    <row r="21" spans="1:9">
      <c r="A21" t="s">
        <v>70</v>
      </c>
      <c r="B21" s="3">
        <v>45603</v>
      </c>
      <c r="C21" t="s">
        <v>56</v>
      </c>
      <c r="D21" t="s">
        <v>17</v>
      </c>
      <c r="E21" t="s">
        <v>12</v>
      </c>
      <c r="F21" t="s">
        <v>41</v>
      </c>
      <c r="G21" t="s">
        <v>42</v>
      </c>
      <c r="H21" s="4">
        <v>608</v>
      </c>
      <c r="I21" s="5">
        <v>19287.080000000002</v>
      </c>
    </row>
    <row r="22" spans="1:9">
      <c r="A22" t="s">
        <v>71</v>
      </c>
      <c r="B22" s="3">
        <v>45292</v>
      </c>
      <c r="C22" t="s">
        <v>10</v>
      </c>
      <c r="D22" t="s">
        <v>11</v>
      </c>
      <c r="E22" t="s">
        <v>12</v>
      </c>
      <c r="F22" t="s">
        <v>51</v>
      </c>
      <c r="G22" t="s">
        <v>52</v>
      </c>
      <c r="H22" s="4">
        <v>1032</v>
      </c>
      <c r="I22" s="5">
        <v>78583.22</v>
      </c>
    </row>
    <row r="23" spans="1:9">
      <c r="A23" t="s">
        <v>72</v>
      </c>
      <c r="B23" s="3">
        <v>45512</v>
      </c>
      <c r="C23" t="s">
        <v>73</v>
      </c>
      <c r="D23" t="s">
        <v>49</v>
      </c>
      <c r="E23" t="s">
        <v>50</v>
      </c>
      <c r="F23" t="s">
        <v>45</v>
      </c>
      <c r="G23" t="s">
        <v>46</v>
      </c>
      <c r="H23" s="4">
        <v>882</v>
      </c>
      <c r="I23" s="5">
        <v>20888.490000000002</v>
      </c>
    </row>
    <row r="24" spans="1:9">
      <c r="A24" t="s">
        <v>74</v>
      </c>
      <c r="B24" s="3">
        <v>45421</v>
      </c>
      <c r="C24" t="s">
        <v>75</v>
      </c>
      <c r="D24" t="s">
        <v>59</v>
      </c>
      <c r="E24" t="s">
        <v>60</v>
      </c>
      <c r="F24" t="s">
        <v>51</v>
      </c>
      <c r="G24" t="s">
        <v>52</v>
      </c>
      <c r="H24" s="4">
        <v>1685</v>
      </c>
      <c r="I24" s="5">
        <v>175243.44</v>
      </c>
    </row>
    <row r="25" spans="1:9">
      <c r="A25" t="s">
        <v>76</v>
      </c>
      <c r="B25" s="3">
        <v>45578</v>
      </c>
      <c r="C25" t="s">
        <v>44</v>
      </c>
      <c r="D25" t="s">
        <v>36</v>
      </c>
      <c r="E25" t="s">
        <v>37</v>
      </c>
      <c r="F25" t="s">
        <v>51</v>
      </c>
      <c r="G25" t="s">
        <v>52</v>
      </c>
      <c r="H25" s="4">
        <v>1729</v>
      </c>
      <c r="I25" s="5">
        <v>170400.03</v>
      </c>
    </row>
    <row r="26" spans="1:9">
      <c r="A26" t="s">
        <v>77</v>
      </c>
      <c r="B26" s="3">
        <v>45568</v>
      </c>
      <c r="C26" t="s">
        <v>78</v>
      </c>
      <c r="D26" t="s">
        <v>67</v>
      </c>
      <c r="E26" t="s">
        <v>50</v>
      </c>
      <c r="F26" t="s">
        <v>51</v>
      </c>
      <c r="G26" t="s">
        <v>52</v>
      </c>
      <c r="H26" s="4">
        <v>693</v>
      </c>
      <c r="I26" s="5">
        <v>52569.47</v>
      </c>
    </row>
    <row r="27" spans="1:9">
      <c r="A27" t="s">
        <v>79</v>
      </c>
      <c r="B27" s="3">
        <v>45632</v>
      </c>
      <c r="C27" t="s">
        <v>48</v>
      </c>
      <c r="D27" t="s">
        <v>59</v>
      </c>
      <c r="E27" t="s">
        <v>60</v>
      </c>
      <c r="F27" t="s">
        <v>18</v>
      </c>
      <c r="G27" t="s">
        <v>19</v>
      </c>
      <c r="H27" s="4">
        <v>0</v>
      </c>
      <c r="I27" s="5">
        <v>61524.26</v>
      </c>
    </row>
    <row r="28" spans="1:9">
      <c r="A28" t="s">
        <v>80</v>
      </c>
      <c r="B28" s="3">
        <v>45595</v>
      </c>
      <c r="C28" t="s">
        <v>16</v>
      </c>
      <c r="D28" t="s">
        <v>57</v>
      </c>
      <c r="E28" t="s">
        <v>37</v>
      </c>
      <c r="F28" t="s">
        <v>51</v>
      </c>
      <c r="G28" t="s">
        <v>52</v>
      </c>
      <c r="H28" s="4">
        <v>1790</v>
      </c>
      <c r="I28" s="5">
        <v>146816.98000000001</v>
      </c>
    </row>
    <row r="29" spans="1:9">
      <c r="A29" t="s">
        <v>81</v>
      </c>
      <c r="B29" s="3">
        <v>45414</v>
      </c>
      <c r="C29" t="s">
        <v>78</v>
      </c>
      <c r="D29" t="s">
        <v>67</v>
      </c>
      <c r="E29" t="s">
        <v>50</v>
      </c>
      <c r="F29" t="s">
        <v>51</v>
      </c>
      <c r="G29" t="s">
        <v>52</v>
      </c>
      <c r="H29" s="4">
        <v>1404</v>
      </c>
      <c r="I29" s="5">
        <v>139168.12</v>
      </c>
    </row>
    <row r="30" spans="1:9">
      <c r="A30" t="s">
        <v>82</v>
      </c>
      <c r="B30" s="3">
        <v>45593</v>
      </c>
      <c r="C30" t="s">
        <v>75</v>
      </c>
      <c r="D30" t="s">
        <v>57</v>
      </c>
      <c r="E30" t="s">
        <v>37</v>
      </c>
      <c r="F30" t="s">
        <v>41</v>
      </c>
      <c r="G30" t="s">
        <v>42</v>
      </c>
      <c r="H30" s="4">
        <v>1341</v>
      </c>
      <c r="I30" s="5">
        <v>38351.550000000003</v>
      </c>
    </row>
    <row r="31" spans="1:9">
      <c r="A31" t="s">
        <v>83</v>
      </c>
      <c r="B31" s="3">
        <v>45500</v>
      </c>
      <c r="C31" t="s">
        <v>56</v>
      </c>
      <c r="D31" t="s">
        <v>28</v>
      </c>
      <c r="E31" t="s">
        <v>29</v>
      </c>
      <c r="F31" t="s">
        <v>13</v>
      </c>
      <c r="G31" t="s">
        <v>14</v>
      </c>
      <c r="H31" s="4">
        <v>1825</v>
      </c>
      <c r="I31" s="5">
        <v>99026.77</v>
      </c>
    </row>
    <row r="32" spans="1:9">
      <c r="A32" t="s">
        <v>84</v>
      </c>
      <c r="B32" s="3">
        <v>45367</v>
      </c>
      <c r="C32" t="s">
        <v>75</v>
      </c>
      <c r="D32" t="s">
        <v>28</v>
      </c>
      <c r="E32" t="s">
        <v>29</v>
      </c>
      <c r="F32" t="s">
        <v>18</v>
      </c>
      <c r="G32" t="s">
        <v>19</v>
      </c>
      <c r="H32" s="4">
        <v>1399</v>
      </c>
      <c r="I32" s="5">
        <v>81066.13</v>
      </c>
    </row>
    <row r="33" spans="1:9">
      <c r="A33" t="s">
        <v>85</v>
      </c>
      <c r="B33" s="3">
        <v>45648</v>
      </c>
      <c r="C33" t="s">
        <v>35</v>
      </c>
      <c r="D33" t="s">
        <v>17</v>
      </c>
      <c r="E33" t="s">
        <v>12</v>
      </c>
      <c r="F33" t="s">
        <v>51</v>
      </c>
      <c r="G33" t="s">
        <v>52</v>
      </c>
      <c r="H33" s="4">
        <v>1153</v>
      </c>
      <c r="I33" s="5">
        <v>128714.2</v>
      </c>
    </row>
    <row r="34" spans="1:9">
      <c r="A34" t="s">
        <v>86</v>
      </c>
      <c r="B34" s="3">
        <v>45403</v>
      </c>
      <c r="C34" t="s">
        <v>87</v>
      </c>
      <c r="D34" t="s">
        <v>49</v>
      </c>
      <c r="E34" t="s">
        <v>50</v>
      </c>
      <c r="F34" t="s">
        <v>41</v>
      </c>
      <c r="G34" t="s">
        <v>42</v>
      </c>
      <c r="H34" s="4">
        <v>906</v>
      </c>
      <c r="I34" s="5">
        <v>27536.58</v>
      </c>
    </row>
    <row r="35" spans="1:9">
      <c r="A35" t="s">
        <v>88</v>
      </c>
      <c r="B35" s="3">
        <v>45298</v>
      </c>
      <c r="C35" t="s">
        <v>89</v>
      </c>
      <c r="D35" t="s">
        <v>49</v>
      </c>
      <c r="E35" t="s">
        <v>50</v>
      </c>
      <c r="F35" t="s">
        <v>13</v>
      </c>
      <c r="G35" t="s">
        <v>14</v>
      </c>
      <c r="H35" s="4">
        <v>1531</v>
      </c>
      <c r="I35" s="5">
        <v>81354.66</v>
      </c>
    </row>
    <row r="36" spans="1:9">
      <c r="A36" t="s">
        <v>90</v>
      </c>
      <c r="B36" s="3">
        <v>45585</v>
      </c>
      <c r="C36" t="s">
        <v>25</v>
      </c>
      <c r="D36" t="s">
        <v>91</v>
      </c>
      <c r="E36" t="s">
        <v>60</v>
      </c>
      <c r="F36" t="s">
        <v>13</v>
      </c>
      <c r="G36" t="s">
        <v>14</v>
      </c>
      <c r="H36" s="4">
        <v>2739</v>
      </c>
      <c r="I36" s="5">
        <v>187391.43</v>
      </c>
    </row>
    <row r="37" spans="1:9">
      <c r="A37" t="s">
        <v>92</v>
      </c>
      <c r="B37" s="3">
        <v>45312</v>
      </c>
      <c r="C37" t="s">
        <v>16</v>
      </c>
      <c r="D37" t="s">
        <v>91</v>
      </c>
      <c r="E37" t="s">
        <v>60</v>
      </c>
      <c r="F37" t="s">
        <v>41</v>
      </c>
      <c r="G37" t="s">
        <v>42</v>
      </c>
      <c r="H37" s="4">
        <v>883</v>
      </c>
      <c r="I37" s="5">
        <v>23685.37</v>
      </c>
    </row>
    <row r="38" spans="1:9">
      <c r="A38" t="s">
        <v>93</v>
      </c>
      <c r="B38" s="3">
        <v>45332</v>
      </c>
      <c r="C38" t="s">
        <v>31</v>
      </c>
      <c r="D38" t="s">
        <v>17</v>
      </c>
      <c r="E38" t="s">
        <v>12</v>
      </c>
      <c r="F38" t="s">
        <v>45</v>
      </c>
      <c r="G38" t="s">
        <v>46</v>
      </c>
      <c r="H38" s="4">
        <v>2553</v>
      </c>
      <c r="I38" s="5">
        <v>79065.990000000005</v>
      </c>
    </row>
    <row r="39" spans="1:9">
      <c r="A39" t="s">
        <v>94</v>
      </c>
      <c r="B39" s="3">
        <v>45397</v>
      </c>
      <c r="C39" t="s">
        <v>78</v>
      </c>
      <c r="D39" t="s">
        <v>49</v>
      </c>
      <c r="E39" t="s">
        <v>50</v>
      </c>
      <c r="F39" t="s">
        <v>41</v>
      </c>
      <c r="G39" t="s">
        <v>42</v>
      </c>
      <c r="H39" s="4">
        <v>1814</v>
      </c>
      <c r="I39" s="5">
        <v>47625.99</v>
      </c>
    </row>
    <row r="40" spans="1:9">
      <c r="A40" t="s">
        <v>95</v>
      </c>
      <c r="B40" s="3">
        <v>45586</v>
      </c>
      <c r="C40" t="s">
        <v>44</v>
      </c>
      <c r="D40" t="s">
        <v>49</v>
      </c>
      <c r="E40" t="s">
        <v>50</v>
      </c>
      <c r="F40" t="s">
        <v>45</v>
      </c>
      <c r="G40" t="s">
        <v>46</v>
      </c>
      <c r="H40" s="4">
        <v>699</v>
      </c>
      <c r="I40" s="5">
        <v>21307.22</v>
      </c>
    </row>
    <row r="41" spans="1:9">
      <c r="A41" t="s">
        <v>96</v>
      </c>
      <c r="B41" s="3">
        <v>45534</v>
      </c>
      <c r="C41" t="s">
        <v>97</v>
      </c>
      <c r="D41" t="s">
        <v>67</v>
      </c>
      <c r="E41" t="s">
        <v>50</v>
      </c>
      <c r="F41" t="s">
        <v>18</v>
      </c>
      <c r="G41" t="s">
        <v>19</v>
      </c>
      <c r="H41" s="4">
        <v>1080</v>
      </c>
      <c r="I41" s="5">
        <v>64032.52</v>
      </c>
    </row>
    <row r="42" spans="1:9">
      <c r="A42" t="s">
        <v>98</v>
      </c>
      <c r="B42" s="3">
        <v>45323</v>
      </c>
      <c r="C42" t="s">
        <v>99</v>
      </c>
      <c r="D42" t="s">
        <v>91</v>
      </c>
      <c r="E42" t="s">
        <v>60</v>
      </c>
      <c r="F42" t="s">
        <v>51</v>
      </c>
      <c r="G42" t="s">
        <v>52</v>
      </c>
      <c r="H42" s="4">
        <v>994</v>
      </c>
      <c r="I42" s="5">
        <v>70805.070000000007</v>
      </c>
    </row>
    <row r="43" spans="1:9">
      <c r="A43" t="s">
        <v>100</v>
      </c>
      <c r="B43" s="3">
        <v>45358</v>
      </c>
      <c r="C43" t="s">
        <v>63</v>
      </c>
      <c r="D43" t="s">
        <v>49</v>
      </c>
      <c r="E43" t="s">
        <v>50</v>
      </c>
      <c r="F43" t="s">
        <v>41</v>
      </c>
      <c r="G43" t="s">
        <v>42</v>
      </c>
      <c r="H43" s="4">
        <v>1943</v>
      </c>
      <c r="I43" s="5">
        <v>50211.16</v>
      </c>
    </row>
    <row r="44" spans="1:9">
      <c r="A44" t="s">
        <v>101</v>
      </c>
      <c r="B44" s="3">
        <v>45651</v>
      </c>
      <c r="C44" t="s">
        <v>102</v>
      </c>
      <c r="D44" t="s">
        <v>22</v>
      </c>
      <c r="E44" t="s">
        <v>23</v>
      </c>
      <c r="F44" t="s">
        <v>13</v>
      </c>
      <c r="G44" t="s">
        <v>14</v>
      </c>
      <c r="H44" s="4">
        <v>3795</v>
      </c>
      <c r="I44" s="5">
        <v>249057</v>
      </c>
    </row>
    <row r="45" spans="1:9">
      <c r="A45" t="s">
        <v>103</v>
      </c>
      <c r="B45" s="3">
        <v>45543</v>
      </c>
      <c r="C45" t="s">
        <v>25</v>
      </c>
      <c r="D45" t="s">
        <v>22</v>
      </c>
      <c r="E45" t="s">
        <v>23</v>
      </c>
      <c r="F45" t="s">
        <v>41</v>
      </c>
      <c r="G45" t="s">
        <v>42</v>
      </c>
      <c r="H45" s="4">
        <v>590</v>
      </c>
      <c r="I45" s="5">
        <v>15617.64</v>
      </c>
    </row>
    <row r="46" spans="1:9">
      <c r="A46" t="s">
        <v>104</v>
      </c>
      <c r="B46" s="3">
        <v>45648</v>
      </c>
      <c r="C46" t="s">
        <v>35</v>
      </c>
      <c r="D46" t="s">
        <v>67</v>
      </c>
      <c r="E46" t="s">
        <v>50</v>
      </c>
      <c r="F46" t="s">
        <v>32</v>
      </c>
      <c r="G46" t="s">
        <v>33</v>
      </c>
      <c r="H46" s="4">
        <v>2381</v>
      </c>
      <c r="I46" s="5">
        <v>77637.009999999995</v>
      </c>
    </row>
    <row r="47" spans="1:9">
      <c r="A47" t="s">
        <v>105</v>
      </c>
      <c r="B47" s="3">
        <v>45516</v>
      </c>
      <c r="C47" t="s">
        <v>106</v>
      </c>
      <c r="D47" t="s">
        <v>40</v>
      </c>
      <c r="E47" t="s">
        <v>23</v>
      </c>
      <c r="F47" t="s">
        <v>18</v>
      </c>
      <c r="G47" t="s">
        <v>19</v>
      </c>
      <c r="H47" s="4">
        <v>2175</v>
      </c>
      <c r="I47" s="5">
        <v>89768</v>
      </c>
    </row>
    <row r="48" spans="1:9">
      <c r="A48" t="s">
        <v>107</v>
      </c>
      <c r="B48" s="3">
        <v>45295</v>
      </c>
      <c r="C48" t="s">
        <v>108</v>
      </c>
      <c r="D48" t="s">
        <v>59</v>
      </c>
      <c r="E48" t="s">
        <v>60</v>
      </c>
      <c r="F48" t="s">
        <v>13</v>
      </c>
      <c r="G48" t="s">
        <v>14</v>
      </c>
      <c r="H48" s="4">
        <v>1946</v>
      </c>
      <c r="I48" s="5">
        <v>126893.98</v>
      </c>
    </row>
    <row r="49" spans="1:9">
      <c r="A49" t="s">
        <v>109</v>
      </c>
      <c r="B49" s="3">
        <v>45637</v>
      </c>
      <c r="C49" t="s">
        <v>27</v>
      </c>
      <c r="D49" t="s">
        <v>17</v>
      </c>
      <c r="E49" t="s">
        <v>12</v>
      </c>
      <c r="F49" t="s">
        <v>13</v>
      </c>
      <c r="G49" t="s">
        <v>14</v>
      </c>
      <c r="H49" s="4">
        <v>2921</v>
      </c>
      <c r="I49" s="5">
        <v>199111.86</v>
      </c>
    </row>
    <row r="50" spans="1:9">
      <c r="A50" t="s">
        <v>110</v>
      </c>
      <c r="B50" s="3">
        <v>45512</v>
      </c>
      <c r="C50" t="s">
        <v>73</v>
      </c>
      <c r="D50" t="s">
        <v>36</v>
      </c>
      <c r="E50" t="s">
        <v>37</v>
      </c>
      <c r="F50" t="s">
        <v>45</v>
      </c>
      <c r="G50" t="s">
        <v>46</v>
      </c>
      <c r="H50" s="4">
        <v>1118</v>
      </c>
      <c r="I50" s="5">
        <v>22382.04</v>
      </c>
    </row>
    <row r="51" spans="1:9">
      <c r="A51" t="s">
        <v>111</v>
      </c>
      <c r="B51" s="3">
        <v>45354</v>
      </c>
      <c r="C51" t="s">
        <v>112</v>
      </c>
      <c r="D51" t="s">
        <v>11</v>
      </c>
      <c r="E51" t="s">
        <v>12</v>
      </c>
      <c r="F51" t="s">
        <v>45</v>
      </c>
      <c r="G51" t="s">
        <v>46</v>
      </c>
      <c r="H51" s="4">
        <v>1094</v>
      </c>
      <c r="I51" s="5">
        <v>32240.13</v>
      </c>
    </row>
    <row r="52" spans="1:9">
      <c r="A52" t="s">
        <v>113</v>
      </c>
      <c r="B52" s="3">
        <v>45557</v>
      </c>
      <c r="C52" t="s">
        <v>69</v>
      </c>
      <c r="D52" t="s">
        <v>28</v>
      </c>
      <c r="E52" t="s">
        <v>29</v>
      </c>
      <c r="F52" t="s">
        <v>41</v>
      </c>
      <c r="G52" t="s">
        <v>42</v>
      </c>
      <c r="H52" s="4">
        <v>1489</v>
      </c>
      <c r="I52" s="5">
        <v>51005.26</v>
      </c>
    </row>
    <row r="53" spans="1:9">
      <c r="A53" t="s">
        <v>114</v>
      </c>
      <c r="B53" s="3">
        <v>45510</v>
      </c>
      <c r="C53" t="s">
        <v>25</v>
      </c>
      <c r="D53" t="s">
        <v>67</v>
      </c>
      <c r="E53" t="s">
        <v>50</v>
      </c>
      <c r="F53" t="s">
        <v>41</v>
      </c>
      <c r="G53" t="s">
        <v>42</v>
      </c>
      <c r="H53" s="4">
        <v>628</v>
      </c>
      <c r="I53" s="5">
        <v>18343.439999999999</v>
      </c>
    </row>
    <row r="54" spans="1:9">
      <c r="A54" t="s">
        <v>115</v>
      </c>
      <c r="B54" s="3">
        <v>45445</v>
      </c>
      <c r="C54" t="s">
        <v>27</v>
      </c>
      <c r="D54" t="s">
        <v>67</v>
      </c>
      <c r="E54" t="s">
        <v>50</v>
      </c>
      <c r="F54" t="s">
        <v>41</v>
      </c>
      <c r="G54" t="s">
        <v>42</v>
      </c>
      <c r="H54" s="4">
        <v>1310</v>
      </c>
      <c r="I54" s="5">
        <v>51939</v>
      </c>
    </row>
    <row r="55" spans="1:9">
      <c r="A55" t="s">
        <v>116</v>
      </c>
      <c r="B55" s="3">
        <v>45499</v>
      </c>
      <c r="C55" t="s">
        <v>78</v>
      </c>
      <c r="D55" t="s">
        <v>65</v>
      </c>
      <c r="E55" t="s">
        <v>29</v>
      </c>
      <c r="F55" t="s">
        <v>18</v>
      </c>
      <c r="G55" t="s">
        <v>19</v>
      </c>
      <c r="H55" s="4">
        <v>545</v>
      </c>
      <c r="I55" s="5">
        <v>32196.48</v>
      </c>
    </row>
    <row r="56" spans="1:9">
      <c r="A56" t="s">
        <v>117</v>
      </c>
      <c r="B56" s="3">
        <v>45577</v>
      </c>
      <c r="C56" t="s">
        <v>112</v>
      </c>
      <c r="D56" t="s">
        <v>67</v>
      </c>
      <c r="E56" t="s">
        <v>50</v>
      </c>
      <c r="F56" t="s">
        <v>13</v>
      </c>
      <c r="G56" t="s">
        <v>14</v>
      </c>
      <c r="H56" s="4">
        <v>2110</v>
      </c>
      <c r="I56" s="5">
        <v>146640.69</v>
      </c>
    </row>
    <row r="57" spans="1:9">
      <c r="A57" t="s">
        <v>118</v>
      </c>
      <c r="B57" s="3">
        <v>45540</v>
      </c>
      <c r="C57" t="s">
        <v>97</v>
      </c>
      <c r="D57" t="s">
        <v>91</v>
      </c>
      <c r="E57" t="s">
        <v>60</v>
      </c>
      <c r="F57" t="s">
        <v>45</v>
      </c>
      <c r="G57" t="s">
        <v>46</v>
      </c>
      <c r="H57" s="4">
        <v>1205</v>
      </c>
      <c r="I57" s="5">
        <v>35009.760000000002</v>
      </c>
    </row>
    <row r="58" spans="1:9">
      <c r="A58" t="s">
        <v>119</v>
      </c>
      <c r="B58" s="3">
        <v>45609</v>
      </c>
      <c r="C58" t="s">
        <v>89</v>
      </c>
      <c r="D58" t="s">
        <v>91</v>
      </c>
      <c r="E58" t="s">
        <v>60</v>
      </c>
      <c r="F58" t="s">
        <v>41</v>
      </c>
      <c r="G58" t="s">
        <v>42</v>
      </c>
      <c r="H58" s="4">
        <v>2130</v>
      </c>
      <c r="I58" s="5">
        <v>59319.7</v>
      </c>
    </row>
    <row r="59" spans="1:9">
      <c r="A59" t="s">
        <v>120</v>
      </c>
      <c r="B59" s="3">
        <v>45549</v>
      </c>
      <c r="C59" t="s">
        <v>44</v>
      </c>
      <c r="D59" t="s">
        <v>49</v>
      </c>
      <c r="E59" t="s">
        <v>50</v>
      </c>
      <c r="F59" t="s">
        <v>18</v>
      </c>
      <c r="G59" t="s">
        <v>19</v>
      </c>
      <c r="H59" s="4">
        <v>2976</v>
      </c>
      <c r="I59" s="5">
        <v>135934.9</v>
      </c>
    </row>
    <row r="60" spans="1:9">
      <c r="A60" t="s">
        <v>121</v>
      </c>
      <c r="B60" s="3">
        <v>45351</v>
      </c>
      <c r="C60" t="s">
        <v>35</v>
      </c>
      <c r="D60" t="s">
        <v>11</v>
      </c>
      <c r="E60" t="s">
        <v>12</v>
      </c>
      <c r="F60" t="s">
        <v>13</v>
      </c>
      <c r="G60" t="s">
        <v>14</v>
      </c>
      <c r="H60" s="4">
        <v>1632</v>
      </c>
      <c r="I60" s="5">
        <v>68792.66</v>
      </c>
    </row>
    <row r="61" spans="1:9">
      <c r="A61" t="s">
        <v>122</v>
      </c>
      <c r="B61" s="3">
        <v>45615</v>
      </c>
      <c r="C61" t="s">
        <v>89</v>
      </c>
      <c r="D61" t="s">
        <v>22</v>
      </c>
      <c r="E61" t="s">
        <v>23</v>
      </c>
      <c r="F61" t="s">
        <v>45</v>
      </c>
      <c r="G61" t="s">
        <v>46</v>
      </c>
      <c r="H61" s="4">
        <v>1568</v>
      </c>
      <c r="I61" s="5">
        <v>49326.51</v>
      </c>
    </row>
    <row r="62" spans="1:9">
      <c r="A62" t="s">
        <v>123</v>
      </c>
      <c r="B62" s="3">
        <v>45454</v>
      </c>
      <c r="C62" t="s">
        <v>35</v>
      </c>
      <c r="D62" t="s">
        <v>22</v>
      </c>
      <c r="E62" t="s">
        <v>23</v>
      </c>
      <c r="F62" t="s">
        <v>13</v>
      </c>
      <c r="G62" t="s">
        <v>14</v>
      </c>
      <c r="H62" s="4">
        <v>1446</v>
      </c>
      <c r="I62" s="5">
        <v>79246.850000000006</v>
      </c>
    </row>
    <row r="63" spans="1:9">
      <c r="A63" t="s">
        <v>124</v>
      </c>
      <c r="B63" s="3">
        <v>45557</v>
      </c>
      <c r="C63" t="s">
        <v>102</v>
      </c>
      <c r="D63" t="s">
        <v>17</v>
      </c>
      <c r="E63" t="s">
        <v>12</v>
      </c>
      <c r="F63" t="s">
        <v>51</v>
      </c>
      <c r="G63" t="s">
        <v>52</v>
      </c>
      <c r="H63" s="4">
        <v>1118</v>
      </c>
      <c r="I63" s="5">
        <v>85260.61</v>
      </c>
    </row>
    <row r="64" spans="1:9">
      <c r="A64" t="s">
        <v>125</v>
      </c>
      <c r="B64" s="3">
        <v>45590</v>
      </c>
      <c r="C64" t="s">
        <v>31</v>
      </c>
      <c r="D64" t="s">
        <v>40</v>
      </c>
      <c r="E64" t="s">
        <v>23</v>
      </c>
      <c r="F64" t="s">
        <v>18</v>
      </c>
      <c r="G64" t="s">
        <v>19</v>
      </c>
      <c r="H64" s="4">
        <v>763</v>
      </c>
      <c r="I64" s="5">
        <v>32321.18</v>
      </c>
    </row>
    <row r="65" spans="1:9">
      <c r="A65" t="s">
        <v>126</v>
      </c>
      <c r="B65" s="3">
        <v>45650</v>
      </c>
      <c r="C65" t="s">
        <v>25</v>
      </c>
      <c r="D65" t="s">
        <v>65</v>
      </c>
      <c r="E65" t="s">
        <v>29</v>
      </c>
      <c r="F65" t="s">
        <v>32</v>
      </c>
      <c r="G65" t="s">
        <v>33</v>
      </c>
      <c r="H65" s="4">
        <v>890</v>
      </c>
      <c r="I65" s="5">
        <v>29497.31</v>
      </c>
    </row>
    <row r="66" spans="1:9">
      <c r="A66" t="s">
        <v>127</v>
      </c>
      <c r="B66" s="3">
        <v>45297</v>
      </c>
      <c r="C66" t="s">
        <v>16</v>
      </c>
      <c r="D66" t="s">
        <v>65</v>
      </c>
      <c r="E66" t="s">
        <v>29</v>
      </c>
      <c r="F66" t="s">
        <v>45</v>
      </c>
      <c r="G66" t="s">
        <v>46</v>
      </c>
      <c r="H66" s="4">
        <v>1079</v>
      </c>
      <c r="I66" s="5">
        <v>22704.95</v>
      </c>
    </row>
    <row r="67" spans="1:9">
      <c r="A67" t="s">
        <v>128</v>
      </c>
      <c r="B67" s="3">
        <v>45292</v>
      </c>
      <c r="C67" t="s">
        <v>75</v>
      </c>
      <c r="D67" t="s">
        <v>49</v>
      </c>
      <c r="E67" t="s">
        <v>50</v>
      </c>
      <c r="F67" t="s">
        <v>41</v>
      </c>
      <c r="G67" t="s">
        <v>42</v>
      </c>
      <c r="H67" s="4">
        <v>1171</v>
      </c>
      <c r="I67" s="5">
        <v>40951.61</v>
      </c>
    </row>
    <row r="68" spans="1:9">
      <c r="A68" t="s">
        <v>129</v>
      </c>
      <c r="B68" s="3">
        <v>45565</v>
      </c>
      <c r="C68" t="s">
        <v>102</v>
      </c>
      <c r="D68" t="s">
        <v>17</v>
      </c>
      <c r="E68" t="s">
        <v>12</v>
      </c>
      <c r="F68" t="s">
        <v>32</v>
      </c>
      <c r="G68" t="s">
        <v>33</v>
      </c>
      <c r="H68" s="4">
        <v>828</v>
      </c>
      <c r="I68" s="5">
        <v>41427.379999999997</v>
      </c>
    </row>
    <row r="69" spans="1:9">
      <c r="A69" t="s">
        <v>130</v>
      </c>
      <c r="B69" s="3">
        <v>45449</v>
      </c>
      <c r="C69" t="s">
        <v>89</v>
      </c>
      <c r="D69" t="s">
        <v>36</v>
      </c>
      <c r="E69" t="s">
        <v>37</v>
      </c>
      <c r="F69" t="s">
        <v>45</v>
      </c>
      <c r="G69" t="s">
        <v>46</v>
      </c>
      <c r="H69" s="4">
        <v>2353</v>
      </c>
      <c r="I69" s="5">
        <v>57699.97</v>
      </c>
    </row>
    <row r="70" spans="1:9">
      <c r="A70" t="s">
        <v>131</v>
      </c>
      <c r="B70" s="3">
        <v>45362</v>
      </c>
      <c r="C70" t="s">
        <v>78</v>
      </c>
      <c r="D70" t="s">
        <v>67</v>
      </c>
      <c r="E70" t="s">
        <v>50</v>
      </c>
      <c r="F70" t="s">
        <v>32</v>
      </c>
      <c r="G70" t="s">
        <v>33</v>
      </c>
      <c r="H70" s="4">
        <v>4226</v>
      </c>
      <c r="I70" s="5">
        <v>140715.54999999999</v>
      </c>
    </row>
    <row r="71" spans="1:9">
      <c r="A71" t="s">
        <v>132</v>
      </c>
      <c r="B71" s="3">
        <v>45299</v>
      </c>
      <c r="C71" t="s">
        <v>48</v>
      </c>
      <c r="D71" t="s">
        <v>11</v>
      </c>
      <c r="E71" t="s">
        <v>12</v>
      </c>
      <c r="F71" t="s">
        <v>13</v>
      </c>
      <c r="G71" t="s">
        <v>14</v>
      </c>
      <c r="H71" s="4">
        <v>1314</v>
      </c>
      <c r="I71" s="5">
        <v>72604.72</v>
      </c>
    </row>
    <row r="72" spans="1:9">
      <c r="A72" t="s">
        <v>133</v>
      </c>
      <c r="B72" s="3">
        <v>45777</v>
      </c>
      <c r="C72" t="s">
        <v>78</v>
      </c>
      <c r="D72" t="s">
        <v>67</v>
      </c>
      <c r="E72" t="s">
        <v>50</v>
      </c>
      <c r="F72" t="s">
        <v>41</v>
      </c>
      <c r="G72" t="s">
        <v>42</v>
      </c>
      <c r="H72" s="4">
        <v>2046</v>
      </c>
      <c r="I72" s="5">
        <v>65933.88</v>
      </c>
    </row>
    <row r="73" spans="1:9">
      <c r="A73" t="s">
        <v>134</v>
      </c>
      <c r="B73" s="3">
        <v>45899</v>
      </c>
      <c r="C73" t="s">
        <v>97</v>
      </c>
      <c r="D73" t="s">
        <v>17</v>
      </c>
      <c r="E73" t="s">
        <v>12</v>
      </c>
      <c r="F73" t="s">
        <v>13</v>
      </c>
      <c r="G73" t="s">
        <v>14</v>
      </c>
      <c r="H73" s="4">
        <v>864</v>
      </c>
      <c r="I73" s="5">
        <v>61029.75</v>
      </c>
    </row>
    <row r="74" spans="1:9">
      <c r="A74" t="s">
        <v>135</v>
      </c>
      <c r="B74" s="3">
        <v>45780</v>
      </c>
      <c r="C74" t="s">
        <v>48</v>
      </c>
      <c r="D74" t="s">
        <v>67</v>
      </c>
      <c r="E74" t="s">
        <v>50</v>
      </c>
      <c r="F74" t="s">
        <v>32</v>
      </c>
      <c r="G74" t="s">
        <v>33</v>
      </c>
      <c r="H74" s="4">
        <v>1580</v>
      </c>
      <c r="I74" s="5">
        <v>49028.97</v>
      </c>
    </row>
    <row r="75" spans="1:9">
      <c r="A75" t="s">
        <v>136</v>
      </c>
      <c r="B75" s="3">
        <v>45886</v>
      </c>
      <c r="C75" t="s">
        <v>31</v>
      </c>
      <c r="D75" t="s">
        <v>49</v>
      </c>
      <c r="E75" t="s">
        <v>50</v>
      </c>
      <c r="F75" t="s">
        <v>45</v>
      </c>
      <c r="G75" t="s">
        <v>46</v>
      </c>
      <c r="H75" s="4">
        <v>1143</v>
      </c>
      <c r="I75" s="5">
        <v>39678.36</v>
      </c>
    </row>
    <row r="76" spans="1:9">
      <c r="A76" t="s">
        <v>137</v>
      </c>
      <c r="B76" s="3">
        <v>45918</v>
      </c>
      <c r="C76" t="s">
        <v>78</v>
      </c>
      <c r="D76" t="s">
        <v>67</v>
      </c>
      <c r="E76" t="s">
        <v>50</v>
      </c>
      <c r="F76" t="s">
        <v>41</v>
      </c>
      <c r="G76" t="s">
        <v>42</v>
      </c>
      <c r="H76" s="4">
        <v>1829</v>
      </c>
      <c r="I76" s="5">
        <v>58832.44</v>
      </c>
    </row>
    <row r="77" spans="1:9">
      <c r="A77" t="s">
        <v>138</v>
      </c>
      <c r="B77" s="3">
        <v>45736</v>
      </c>
      <c r="C77" t="s">
        <v>31</v>
      </c>
      <c r="D77" t="s">
        <v>49</v>
      </c>
      <c r="E77" t="s">
        <v>50</v>
      </c>
      <c r="F77" t="s">
        <v>32</v>
      </c>
      <c r="G77" t="s">
        <v>33</v>
      </c>
      <c r="H77" s="4">
        <v>920</v>
      </c>
      <c r="I77" s="5">
        <v>48085.78</v>
      </c>
    </row>
    <row r="78" spans="1:9">
      <c r="A78" t="s">
        <v>139</v>
      </c>
      <c r="B78" s="3">
        <v>45711</v>
      </c>
      <c r="C78" t="s">
        <v>48</v>
      </c>
      <c r="D78" t="s">
        <v>91</v>
      </c>
      <c r="E78" t="s">
        <v>60</v>
      </c>
      <c r="F78" t="s">
        <v>45</v>
      </c>
      <c r="G78" t="s">
        <v>46</v>
      </c>
      <c r="H78" s="4">
        <v>487</v>
      </c>
      <c r="I78" s="5">
        <v>13262.26</v>
      </c>
    </row>
    <row r="79" spans="1:9">
      <c r="A79" t="s">
        <v>140</v>
      </c>
      <c r="B79" s="3">
        <v>45990</v>
      </c>
      <c r="C79" t="s">
        <v>69</v>
      </c>
      <c r="D79" t="s">
        <v>22</v>
      </c>
      <c r="E79" t="s">
        <v>23</v>
      </c>
      <c r="F79" t="s">
        <v>45</v>
      </c>
      <c r="G79" t="s">
        <v>46</v>
      </c>
      <c r="H79" s="4">
        <v>2883</v>
      </c>
      <c r="I79" s="5">
        <v>83160.990000000005</v>
      </c>
    </row>
    <row r="80" spans="1:9">
      <c r="A80" t="s">
        <v>141</v>
      </c>
      <c r="B80" s="3">
        <v>45913</v>
      </c>
      <c r="C80" t="s">
        <v>112</v>
      </c>
      <c r="D80" t="s">
        <v>11</v>
      </c>
      <c r="E80" t="s">
        <v>12</v>
      </c>
      <c r="F80" t="s">
        <v>18</v>
      </c>
      <c r="G80" t="s">
        <v>19</v>
      </c>
      <c r="H80" s="4">
        <v>1270</v>
      </c>
      <c r="I80" s="5">
        <v>85152.6</v>
      </c>
    </row>
    <row r="81" spans="1:9">
      <c r="A81" t="s">
        <v>142</v>
      </c>
      <c r="B81" s="3">
        <v>45775</v>
      </c>
      <c r="C81" t="s">
        <v>75</v>
      </c>
      <c r="D81" t="s">
        <v>59</v>
      </c>
      <c r="E81" t="s">
        <v>60</v>
      </c>
      <c r="F81" t="s">
        <v>41</v>
      </c>
      <c r="G81" t="s">
        <v>42</v>
      </c>
      <c r="H81" s="4">
        <v>951</v>
      </c>
      <c r="I81" s="5">
        <v>38627.82</v>
      </c>
    </row>
    <row r="82" spans="1:9">
      <c r="A82" t="s">
        <v>143</v>
      </c>
      <c r="B82" s="3">
        <v>45892</v>
      </c>
      <c r="C82" t="s">
        <v>106</v>
      </c>
      <c r="D82" t="s">
        <v>67</v>
      </c>
      <c r="E82" t="s">
        <v>50</v>
      </c>
      <c r="F82" t="s">
        <v>32</v>
      </c>
      <c r="G82" t="s">
        <v>33</v>
      </c>
      <c r="H82" s="4">
        <v>1051</v>
      </c>
      <c r="I82" s="5">
        <v>57939.45</v>
      </c>
    </row>
    <row r="83" spans="1:9">
      <c r="A83" t="s">
        <v>144</v>
      </c>
      <c r="B83" s="3">
        <v>45967</v>
      </c>
      <c r="C83" t="s">
        <v>10</v>
      </c>
      <c r="D83" t="s">
        <v>91</v>
      </c>
      <c r="E83" t="s">
        <v>60</v>
      </c>
      <c r="F83" t="s">
        <v>13</v>
      </c>
      <c r="G83" t="s">
        <v>14</v>
      </c>
      <c r="H83" s="4">
        <v>1909</v>
      </c>
      <c r="I83" s="5">
        <v>130713.06</v>
      </c>
    </row>
    <row r="84" spans="1:9">
      <c r="A84" t="s">
        <v>145</v>
      </c>
      <c r="B84" s="3">
        <v>45693</v>
      </c>
      <c r="C84" t="s">
        <v>146</v>
      </c>
      <c r="D84" t="s">
        <v>36</v>
      </c>
      <c r="E84" t="s">
        <v>37</v>
      </c>
      <c r="F84" t="s">
        <v>45</v>
      </c>
      <c r="G84" t="s">
        <v>46</v>
      </c>
      <c r="H84" s="4">
        <v>935</v>
      </c>
      <c r="I84" s="5">
        <v>35093.07</v>
      </c>
    </row>
    <row r="85" spans="1:9">
      <c r="A85" t="s">
        <v>147</v>
      </c>
      <c r="B85" s="3">
        <v>45835</v>
      </c>
      <c r="C85" t="s">
        <v>25</v>
      </c>
      <c r="D85" t="s">
        <v>17</v>
      </c>
      <c r="E85" t="s">
        <v>12</v>
      </c>
      <c r="F85" t="s">
        <v>18</v>
      </c>
      <c r="G85" t="s">
        <v>19</v>
      </c>
      <c r="H85" s="4">
        <v>2091</v>
      </c>
      <c r="I85" s="5">
        <v>101627.35</v>
      </c>
    </row>
    <row r="86" spans="1:9">
      <c r="A86" t="s">
        <v>148</v>
      </c>
      <c r="B86" s="3">
        <v>45697</v>
      </c>
      <c r="C86" t="s">
        <v>149</v>
      </c>
      <c r="D86" t="s">
        <v>57</v>
      </c>
      <c r="E86" t="s">
        <v>37</v>
      </c>
      <c r="F86" t="s">
        <v>45</v>
      </c>
      <c r="G86" t="s">
        <v>46</v>
      </c>
      <c r="H86" s="4">
        <v>1874</v>
      </c>
      <c r="I86" s="5">
        <v>55722.74</v>
      </c>
    </row>
    <row r="87" spans="1:9">
      <c r="A87" t="s">
        <v>150</v>
      </c>
      <c r="B87" s="3">
        <v>45756</v>
      </c>
      <c r="C87" t="s">
        <v>75</v>
      </c>
      <c r="D87" t="s">
        <v>40</v>
      </c>
      <c r="E87" t="s">
        <v>23</v>
      </c>
      <c r="F87" t="s">
        <v>45</v>
      </c>
      <c r="G87" t="s">
        <v>46</v>
      </c>
      <c r="H87" s="4">
        <v>1078</v>
      </c>
      <c r="I87" s="5">
        <v>23006.43</v>
      </c>
    </row>
    <row r="88" spans="1:9">
      <c r="A88" t="s">
        <v>151</v>
      </c>
      <c r="B88" s="3">
        <v>45683</v>
      </c>
      <c r="C88" t="s">
        <v>78</v>
      </c>
      <c r="D88" t="s">
        <v>17</v>
      </c>
      <c r="E88" t="s">
        <v>12</v>
      </c>
      <c r="F88" t="s">
        <v>41</v>
      </c>
      <c r="G88" t="s">
        <v>42</v>
      </c>
      <c r="H88" s="4">
        <v>745</v>
      </c>
      <c r="I88" s="5">
        <v>29557.279999999999</v>
      </c>
    </row>
    <row r="89" spans="1:9">
      <c r="A89" t="s">
        <v>152</v>
      </c>
      <c r="B89" s="3">
        <v>45865</v>
      </c>
      <c r="C89" t="s">
        <v>87</v>
      </c>
      <c r="D89" t="s">
        <v>59</v>
      </c>
      <c r="E89" t="s">
        <v>60</v>
      </c>
      <c r="F89" t="s">
        <v>13</v>
      </c>
      <c r="G89" t="s">
        <v>14</v>
      </c>
      <c r="H89" s="4">
        <v>1212</v>
      </c>
      <c r="I89" s="5">
        <v>91137.23</v>
      </c>
    </row>
    <row r="90" spans="1:9">
      <c r="A90" t="s">
        <v>153</v>
      </c>
      <c r="B90" s="3">
        <v>45980</v>
      </c>
      <c r="C90" t="s">
        <v>56</v>
      </c>
      <c r="D90" t="s">
        <v>65</v>
      </c>
      <c r="E90" t="s">
        <v>29</v>
      </c>
      <c r="F90" t="s">
        <v>13</v>
      </c>
      <c r="G90" t="s">
        <v>14</v>
      </c>
      <c r="H90" s="4">
        <v>2501</v>
      </c>
      <c r="I90" s="5">
        <v>193018.12</v>
      </c>
    </row>
    <row r="91" spans="1:9">
      <c r="A91" t="s">
        <v>154</v>
      </c>
      <c r="B91" s="3">
        <v>45925</v>
      </c>
      <c r="C91" t="s">
        <v>78</v>
      </c>
      <c r="D91" t="s">
        <v>67</v>
      </c>
      <c r="E91" t="s">
        <v>50</v>
      </c>
      <c r="F91" t="s">
        <v>41</v>
      </c>
      <c r="G91" t="s">
        <v>42</v>
      </c>
      <c r="H91" s="4">
        <v>1700</v>
      </c>
      <c r="I91" s="5">
        <v>63184.52</v>
      </c>
    </row>
    <row r="92" spans="1:9">
      <c r="A92" t="s">
        <v>155</v>
      </c>
      <c r="B92" s="3">
        <v>45664</v>
      </c>
      <c r="C92" t="s">
        <v>75</v>
      </c>
      <c r="D92" t="s">
        <v>49</v>
      </c>
      <c r="E92" t="s">
        <v>50</v>
      </c>
      <c r="F92" t="s">
        <v>13</v>
      </c>
      <c r="G92" t="s">
        <v>14</v>
      </c>
      <c r="H92" s="4">
        <v>1490</v>
      </c>
      <c r="I92" s="5">
        <v>112875.01</v>
      </c>
    </row>
    <row r="93" spans="1:9">
      <c r="A93" t="s">
        <v>156</v>
      </c>
      <c r="B93" s="3">
        <v>45859</v>
      </c>
      <c r="C93" t="s">
        <v>106</v>
      </c>
      <c r="D93" t="s">
        <v>67</v>
      </c>
      <c r="E93" t="s">
        <v>50</v>
      </c>
      <c r="F93" t="s">
        <v>41</v>
      </c>
      <c r="G93" t="s">
        <v>42</v>
      </c>
      <c r="H93" s="4">
        <v>1131</v>
      </c>
      <c r="I93" s="5">
        <v>49531.08</v>
      </c>
    </row>
    <row r="94" spans="1:9">
      <c r="A94" t="s">
        <v>157</v>
      </c>
      <c r="B94" s="3">
        <v>45738</v>
      </c>
      <c r="C94" t="s">
        <v>78</v>
      </c>
      <c r="D94" t="s">
        <v>40</v>
      </c>
      <c r="E94" t="s">
        <v>23</v>
      </c>
      <c r="F94" t="s">
        <v>45</v>
      </c>
      <c r="G94" t="s">
        <v>46</v>
      </c>
      <c r="H94" s="4">
        <v>2575</v>
      </c>
      <c r="I94" s="5">
        <v>81975.839999999997</v>
      </c>
    </row>
    <row r="95" spans="1:9">
      <c r="A95" t="s">
        <v>158</v>
      </c>
      <c r="B95" s="3">
        <v>45780</v>
      </c>
      <c r="C95" t="s">
        <v>106</v>
      </c>
      <c r="D95" t="s">
        <v>40</v>
      </c>
      <c r="E95" t="s">
        <v>23</v>
      </c>
      <c r="F95" t="s">
        <v>45</v>
      </c>
      <c r="G95" t="s">
        <v>46</v>
      </c>
      <c r="H95" s="4">
        <v>1904</v>
      </c>
      <c r="I95" s="5">
        <v>65129</v>
      </c>
    </row>
    <row r="96" spans="1:9">
      <c r="A96" t="s">
        <v>159</v>
      </c>
      <c r="B96" s="3">
        <v>45714</v>
      </c>
      <c r="C96" t="s">
        <v>63</v>
      </c>
      <c r="D96" t="s">
        <v>59</v>
      </c>
      <c r="E96" t="s">
        <v>60</v>
      </c>
      <c r="F96" t="s">
        <v>18</v>
      </c>
      <c r="G96" t="s">
        <v>19</v>
      </c>
      <c r="H96" s="4">
        <v>922</v>
      </c>
      <c r="I96" s="5">
        <v>46966.69</v>
      </c>
    </row>
    <row r="97" spans="1:9">
      <c r="A97" t="s">
        <v>160</v>
      </c>
      <c r="B97" s="3">
        <v>45952</v>
      </c>
      <c r="C97" t="s">
        <v>146</v>
      </c>
      <c r="D97" t="s">
        <v>57</v>
      </c>
      <c r="E97" t="s">
        <v>37</v>
      </c>
      <c r="F97" t="s">
        <v>41</v>
      </c>
      <c r="G97" t="s">
        <v>42</v>
      </c>
      <c r="H97" s="4">
        <v>2256</v>
      </c>
      <c r="I97" s="5">
        <v>67602.210000000006</v>
      </c>
    </row>
    <row r="98" spans="1:9">
      <c r="A98" t="s">
        <v>161</v>
      </c>
      <c r="B98" s="3">
        <v>45944</v>
      </c>
      <c r="C98" t="s">
        <v>112</v>
      </c>
      <c r="D98" t="s">
        <v>17</v>
      </c>
      <c r="E98" t="s">
        <v>12</v>
      </c>
      <c r="F98" t="s">
        <v>13</v>
      </c>
      <c r="G98" t="s">
        <v>14</v>
      </c>
      <c r="H98" s="4">
        <v>1373</v>
      </c>
      <c r="I98" s="5">
        <v>106091.96</v>
      </c>
    </row>
    <row r="99" spans="1:9">
      <c r="A99" t="s">
        <v>162</v>
      </c>
      <c r="B99" s="3">
        <v>45949</v>
      </c>
      <c r="C99" t="s">
        <v>35</v>
      </c>
      <c r="D99" t="s">
        <v>28</v>
      </c>
      <c r="E99" t="s">
        <v>29</v>
      </c>
      <c r="F99" t="s">
        <v>32</v>
      </c>
      <c r="G99" t="s">
        <v>33</v>
      </c>
      <c r="H99" s="4">
        <v>1917</v>
      </c>
      <c r="I99" s="5">
        <v>62059.97</v>
      </c>
    </row>
    <row r="100" spans="1:9">
      <c r="A100" t="s">
        <v>163</v>
      </c>
      <c r="B100" s="3">
        <v>45761</v>
      </c>
      <c r="C100" t="s">
        <v>73</v>
      </c>
      <c r="D100" t="s">
        <v>49</v>
      </c>
      <c r="E100" t="s">
        <v>50</v>
      </c>
      <c r="F100" t="s">
        <v>41</v>
      </c>
      <c r="G100" t="s">
        <v>42</v>
      </c>
      <c r="H100" s="4">
        <v>2018</v>
      </c>
      <c r="I100" s="5">
        <v>82909.31</v>
      </c>
    </row>
    <row r="101" spans="1:9">
      <c r="A101" t="s">
        <v>164</v>
      </c>
      <c r="B101" s="3">
        <v>45944</v>
      </c>
      <c r="C101" t="s">
        <v>106</v>
      </c>
      <c r="D101" t="s">
        <v>67</v>
      </c>
      <c r="E101" t="s">
        <v>50</v>
      </c>
      <c r="F101" t="s">
        <v>13</v>
      </c>
      <c r="G101" t="s">
        <v>14</v>
      </c>
      <c r="H101" s="4">
        <v>2263</v>
      </c>
      <c r="I101" s="5">
        <v>123688.14</v>
      </c>
    </row>
    <row r="102" spans="1:9">
      <c r="A102" t="s">
        <v>165</v>
      </c>
      <c r="B102" s="3">
        <v>45945</v>
      </c>
      <c r="C102" t="s">
        <v>25</v>
      </c>
      <c r="D102" t="s">
        <v>11</v>
      </c>
      <c r="E102" t="s">
        <v>12</v>
      </c>
      <c r="F102" t="s">
        <v>45</v>
      </c>
      <c r="G102" t="s">
        <v>46</v>
      </c>
      <c r="H102" s="4">
        <v>763</v>
      </c>
      <c r="I102" s="5">
        <v>25354.5</v>
      </c>
    </row>
    <row r="103" spans="1:9">
      <c r="A103" t="s">
        <v>166</v>
      </c>
      <c r="B103" s="3">
        <v>45738</v>
      </c>
      <c r="C103" t="s">
        <v>75</v>
      </c>
      <c r="D103" t="s">
        <v>59</v>
      </c>
      <c r="E103" t="s">
        <v>60</v>
      </c>
      <c r="F103" t="s">
        <v>13</v>
      </c>
      <c r="G103" t="s">
        <v>14</v>
      </c>
      <c r="H103" s="4">
        <v>792</v>
      </c>
      <c r="I103" s="5">
        <v>39021.42</v>
      </c>
    </row>
    <row r="104" spans="1:9">
      <c r="A104" t="s">
        <v>167</v>
      </c>
      <c r="B104" s="3">
        <v>45912</v>
      </c>
      <c r="C104" t="s">
        <v>16</v>
      </c>
      <c r="D104" t="s">
        <v>11</v>
      </c>
      <c r="E104" t="s">
        <v>12</v>
      </c>
      <c r="F104" t="s">
        <v>13</v>
      </c>
      <c r="G104" t="s">
        <v>14</v>
      </c>
      <c r="H104" s="4">
        <v>2111</v>
      </c>
      <c r="I104" s="5">
        <v>153609.04999999999</v>
      </c>
    </row>
    <row r="105" spans="1:9">
      <c r="A105" t="s">
        <v>168</v>
      </c>
      <c r="B105" s="3">
        <v>45782</v>
      </c>
      <c r="C105" t="s">
        <v>31</v>
      </c>
      <c r="D105" t="s">
        <v>67</v>
      </c>
      <c r="E105" t="s">
        <v>50</v>
      </c>
      <c r="F105" t="s">
        <v>45</v>
      </c>
      <c r="G105" t="s">
        <v>46</v>
      </c>
      <c r="H105" s="4">
        <v>1499</v>
      </c>
      <c r="I105" s="5">
        <v>56144.4</v>
      </c>
    </row>
    <row r="106" spans="1:9">
      <c r="A106" t="s">
        <v>169</v>
      </c>
      <c r="B106" s="3">
        <v>45842</v>
      </c>
      <c r="C106" t="s">
        <v>112</v>
      </c>
      <c r="D106" t="s">
        <v>40</v>
      </c>
      <c r="E106" t="s">
        <v>23</v>
      </c>
      <c r="F106" t="s">
        <v>45</v>
      </c>
      <c r="G106" t="s">
        <v>46</v>
      </c>
      <c r="H106" s="4">
        <v>1869</v>
      </c>
      <c r="I106" s="5">
        <v>62635.76</v>
      </c>
    </row>
    <row r="107" spans="1:9">
      <c r="A107" t="s">
        <v>170</v>
      </c>
      <c r="B107" s="3">
        <v>45953</v>
      </c>
      <c r="C107" t="s">
        <v>146</v>
      </c>
      <c r="D107" t="s">
        <v>11</v>
      </c>
      <c r="E107" t="s">
        <v>12</v>
      </c>
      <c r="F107" t="s">
        <v>13</v>
      </c>
      <c r="G107" t="s">
        <v>14</v>
      </c>
      <c r="H107" s="4">
        <v>594</v>
      </c>
      <c r="I107" s="5">
        <v>35283.33</v>
      </c>
    </row>
    <row r="108" spans="1:9">
      <c r="A108" t="s">
        <v>171</v>
      </c>
      <c r="B108" s="3">
        <v>45773</v>
      </c>
      <c r="C108" t="s">
        <v>87</v>
      </c>
      <c r="D108" t="s">
        <v>17</v>
      </c>
      <c r="E108" t="s">
        <v>12</v>
      </c>
      <c r="F108" t="s">
        <v>51</v>
      </c>
      <c r="G108" t="s">
        <v>52</v>
      </c>
      <c r="H108" s="4">
        <v>1842</v>
      </c>
      <c r="I108" s="5">
        <v>141817.26999999999</v>
      </c>
    </row>
    <row r="109" spans="1:9">
      <c r="A109" t="s">
        <v>172</v>
      </c>
      <c r="B109" s="3">
        <v>45703</v>
      </c>
      <c r="C109" t="s">
        <v>44</v>
      </c>
      <c r="D109" t="s">
        <v>22</v>
      </c>
      <c r="E109" t="s">
        <v>23</v>
      </c>
      <c r="F109" t="s">
        <v>18</v>
      </c>
      <c r="G109" t="s">
        <v>19</v>
      </c>
      <c r="H109" s="4">
        <v>3732</v>
      </c>
      <c r="I109" s="5">
        <v>145615.94</v>
      </c>
    </row>
    <row r="110" spans="1:9">
      <c r="A110" t="s">
        <v>173</v>
      </c>
      <c r="B110" s="3">
        <v>45849</v>
      </c>
      <c r="C110" t="s">
        <v>54</v>
      </c>
      <c r="D110" t="s">
        <v>49</v>
      </c>
      <c r="E110" t="s">
        <v>50</v>
      </c>
      <c r="F110" t="s">
        <v>41</v>
      </c>
      <c r="G110" t="s">
        <v>42</v>
      </c>
      <c r="H110" s="4">
        <v>2336</v>
      </c>
      <c r="I110" s="5">
        <v>62641.16</v>
      </c>
    </row>
    <row r="111" spans="1:9">
      <c r="A111" t="s">
        <v>174</v>
      </c>
      <c r="B111" s="3">
        <v>45905</v>
      </c>
      <c r="C111" t="s">
        <v>21</v>
      </c>
      <c r="D111" t="s">
        <v>11</v>
      </c>
      <c r="E111" t="s">
        <v>12</v>
      </c>
      <c r="F111" t="s">
        <v>45</v>
      </c>
      <c r="G111" t="s">
        <v>46</v>
      </c>
      <c r="H111" s="4">
        <v>2607</v>
      </c>
      <c r="I111" s="5">
        <v>74577.100000000006</v>
      </c>
    </row>
    <row r="112" spans="1:9">
      <c r="A112" t="s">
        <v>175</v>
      </c>
      <c r="B112" s="3">
        <v>45922</v>
      </c>
      <c r="C112" t="s">
        <v>108</v>
      </c>
      <c r="D112" t="s">
        <v>67</v>
      </c>
      <c r="E112" t="s">
        <v>50</v>
      </c>
      <c r="F112" t="s">
        <v>18</v>
      </c>
      <c r="G112" t="s">
        <v>19</v>
      </c>
      <c r="H112" s="4">
        <v>1869</v>
      </c>
      <c r="I112" s="5">
        <v>94620.19</v>
      </c>
    </row>
    <row r="113" spans="1:9">
      <c r="A113" t="s">
        <v>176</v>
      </c>
      <c r="B113" s="3">
        <v>45991</v>
      </c>
      <c r="C113" t="s">
        <v>146</v>
      </c>
      <c r="D113" t="s">
        <v>49</v>
      </c>
      <c r="E113" t="s">
        <v>50</v>
      </c>
      <c r="F113" t="s">
        <v>45</v>
      </c>
      <c r="G113" t="s">
        <v>46</v>
      </c>
      <c r="H113" s="4">
        <v>661</v>
      </c>
      <c r="I113" s="5">
        <v>16684.740000000002</v>
      </c>
    </row>
    <row r="114" spans="1:9">
      <c r="A114" t="s">
        <v>177</v>
      </c>
      <c r="B114" s="3">
        <v>46009</v>
      </c>
      <c r="C114" t="s">
        <v>106</v>
      </c>
      <c r="D114" t="s">
        <v>91</v>
      </c>
      <c r="E114" t="s">
        <v>60</v>
      </c>
      <c r="F114" t="s">
        <v>13</v>
      </c>
      <c r="G114" t="s">
        <v>14</v>
      </c>
      <c r="H114" s="4">
        <v>933</v>
      </c>
      <c r="I114" s="5">
        <v>64642.36</v>
      </c>
    </row>
    <row r="115" spans="1:9">
      <c r="A115" t="s">
        <v>178</v>
      </c>
      <c r="B115" s="3">
        <v>45779</v>
      </c>
      <c r="C115" t="s">
        <v>35</v>
      </c>
      <c r="D115" t="s">
        <v>67</v>
      </c>
      <c r="E115" t="s">
        <v>50</v>
      </c>
      <c r="F115" t="s">
        <v>41</v>
      </c>
      <c r="G115" t="s">
        <v>42</v>
      </c>
      <c r="H115" s="4">
        <v>1616</v>
      </c>
      <c r="I115" s="5">
        <v>56544.79</v>
      </c>
    </row>
    <row r="116" spans="1:9">
      <c r="A116" t="s">
        <v>179</v>
      </c>
      <c r="B116" s="3">
        <v>45691</v>
      </c>
      <c r="C116" t="s">
        <v>25</v>
      </c>
      <c r="D116" t="s">
        <v>22</v>
      </c>
      <c r="E116" t="s">
        <v>23</v>
      </c>
      <c r="F116" t="s">
        <v>13</v>
      </c>
      <c r="G116" t="s">
        <v>14</v>
      </c>
      <c r="H116" s="4">
        <v>1127</v>
      </c>
      <c r="I116" s="5">
        <v>81459.12</v>
      </c>
    </row>
    <row r="117" spans="1:9">
      <c r="A117" t="s">
        <v>180</v>
      </c>
      <c r="B117" s="3">
        <v>45927</v>
      </c>
      <c r="C117" t="s">
        <v>87</v>
      </c>
      <c r="D117" t="s">
        <v>49</v>
      </c>
      <c r="E117" t="s">
        <v>50</v>
      </c>
      <c r="F117" t="s">
        <v>18</v>
      </c>
      <c r="G117" t="s">
        <v>19</v>
      </c>
      <c r="H117" s="4">
        <v>783</v>
      </c>
      <c r="I117" s="5">
        <v>34431.21</v>
      </c>
    </row>
    <row r="118" spans="1:9">
      <c r="A118" t="s">
        <v>181</v>
      </c>
      <c r="B118" s="3">
        <v>45977</v>
      </c>
      <c r="C118" t="s">
        <v>35</v>
      </c>
      <c r="D118" t="s">
        <v>67</v>
      </c>
      <c r="E118" t="s">
        <v>50</v>
      </c>
      <c r="F118" t="s">
        <v>13</v>
      </c>
      <c r="G118" t="s">
        <v>14</v>
      </c>
      <c r="H118" s="4">
        <v>777</v>
      </c>
      <c r="I118" s="5">
        <v>58332.83</v>
      </c>
    </row>
    <row r="119" spans="1:9">
      <c r="A119" t="s">
        <v>182</v>
      </c>
      <c r="B119" s="3">
        <v>45718</v>
      </c>
      <c r="C119" t="s">
        <v>146</v>
      </c>
      <c r="D119" t="s">
        <v>36</v>
      </c>
      <c r="E119" t="s">
        <v>37</v>
      </c>
      <c r="F119" t="s">
        <v>32</v>
      </c>
      <c r="G119" t="s">
        <v>33</v>
      </c>
      <c r="H119" s="4">
        <v>1889</v>
      </c>
      <c r="I119" s="5">
        <v>85225.06</v>
      </c>
    </row>
    <row r="120" spans="1:9">
      <c r="A120" t="s">
        <v>183</v>
      </c>
      <c r="B120" s="3">
        <v>45706</v>
      </c>
      <c r="C120" t="s">
        <v>108</v>
      </c>
      <c r="D120" t="s">
        <v>65</v>
      </c>
      <c r="E120" t="s">
        <v>29</v>
      </c>
      <c r="F120" t="s">
        <v>32</v>
      </c>
      <c r="G120" t="s">
        <v>33</v>
      </c>
      <c r="H120" s="4">
        <v>2103</v>
      </c>
      <c r="I120" s="5">
        <v>101446.86</v>
      </c>
    </row>
    <row r="121" spans="1:9">
      <c r="A121" t="s">
        <v>184</v>
      </c>
      <c r="B121" s="3">
        <v>45685</v>
      </c>
      <c r="C121" t="s">
        <v>25</v>
      </c>
      <c r="D121" t="s">
        <v>40</v>
      </c>
      <c r="E121" t="s">
        <v>23</v>
      </c>
      <c r="F121" t="s">
        <v>51</v>
      </c>
      <c r="G121" t="s">
        <v>52</v>
      </c>
      <c r="H121" s="4">
        <v>488</v>
      </c>
      <c r="I121" s="5">
        <v>34930.949999999997</v>
      </c>
    </row>
    <row r="122" spans="1:9">
      <c r="A122" t="s">
        <v>185</v>
      </c>
      <c r="B122" s="3">
        <v>45746</v>
      </c>
      <c r="C122" t="s">
        <v>35</v>
      </c>
      <c r="D122" t="s">
        <v>91</v>
      </c>
      <c r="E122" t="s">
        <v>60</v>
      </c>
      <c r="F122" t="s">
        <v>18</v>
      </c>
      <c r="G122" t="s">
        <v>19</v>
      </c>
      <c r="H122" s="4">
        <v>648</v>
      </c>
      <c r="I122" s="5">
        <v>32262.21</v>
      </c>
    </row>
    <row r="123" spans="1:9">
      <c r="A123" t="s">
        <v>186</v>
      </c>
      <c r="B123" s="3">
        <v>45831</v>
      </c>
      <c r="C123" t="s">
        <v>112</v>
      </c>
      <c r="D123" t="s">
        <v>67</v>
      </c>
      <c r="E123" t="s">
        <v>50</v>
      </c>
      <c r="F123" t="s">
        <v>18</v>
      </c>
      <c r="G123" t="s">
        <v>19</v>
      </c>
      <c r="H123" s="4">
        <v>973</v>
      </c>
      <c r="I123" s="5">
        <v>51211.91</v>
      </c>
    </row>
    <row r="124" spans="1:9">
      <c r="A124" t="s">
        <v>187</v>
      </c>
      <c r="B124" s="3">
        <v>45679</v>
      </c>
      <c r="C124" t="s">
        <v>89</v>
      </c>
      <c r="D124" t="s">
        <v>40</v>
      </c>
      <c r="E124" t="s">
        <v>23</v>
      </c>
      <c r="F124" t="s">
        <v>32</v>
      </c>
      <c r="G124" t="s">
        <v>33</v>
      </c>
      <c r="H124" s="4">
        <v>739</v>
      </c>
      <c r="I124" s="5">
        <v>28218.47</v>
      </c>
    </row>
    <row r="125" spans="1:9">
      <c r="A125" t="s">
        <v>188</v>
      </c>
      <c r="B125" s="3">
        <v>45940</v>
      </c>
      <c r="C125" t="s">
        <v>63</v>
      </c>
      <c r="D125" t="s">
        <v>59</v>
      </c>
      <c r="E125" t="s">
        <v>60</v>
      </c>
      <c r="F125" t="s">
        <v>13</v>
      </c>
      <c r="G125" t="s">
        <v>14</v>
      </c>
      <c r="H125" s="4">
        <v>1006</v>
      </c>
      <c r="I125" s="5">
        <v>79309.22</v>
      </c>
    </row>
    <row r="126" spans="1:9">
      <c r="A126" t="s">
        <v>189</v>
      </c>
      <c r="B126" s="3">
        <v>45929</v>
      </c>
      <c r="C126" t="s">
        <v>97</v>
      </c>
      <c r="D126" t="s">
        <v>22</v>
      </c>
      <c r="E126" t="s">
        <v>23</v>
      </c>
      <c r="F126" t="s">
        <v>51</v>
      </c>
      <c r="G126" t="s">
        <v>52</v>
      </c>
      <c r="H126" s="4">
        <v>1055</v>
      </c>
      <c r="I126" s="5">
        <v>128142.59</v>
      </c>
    </row>
    <row r="127" spans="1:9">
      <c r="A127" t="s">
        <v>190</v>
      </c>
      <c r="B127" s="3">
        <v>45923</v>
      </c>
      <c r="C127" t="s">
        <v>21</v>
      </c>
      <c r="D127" t="s">
        <v>49</v>
      </c>
      <c r="E127" t="s">
        <v>50</v>
      </c>
      <c r="F127" t="s">
        <v>41</v>
      </c>
      <c r="G127" t="s">
        <v>42</v>
      </c>
      <c r="H127" s="4">
        <v>971</v>
      </c>
      <c r="I127" s="5">
        <v>26152.59</v>
      </c>
    </row>
    <row r="128" spans="1:9">
      <c r="A128" t="s">
        <v>191</v>
      </c>
      <c r="B128" s="3">
        <v>45970</v>
      </c>
      <c r="C128" t="s">
        <v>97</v>
      </c>
      <c r="D128" t="s">
        <v>17</v>
      </c>
      <c r="E128" t="s">
        <v>12</v>
      </c>
      <c r="F128" t="s">
        <v>45</v>
      </c>
      <c r="G128" t="s">
        <v>46</v>
      </c>
      <c r="H128" s="4">
        <v>592</v>
      </c>
      <c r="I128" s="5">
        <v>14874.21</v>
      </c>
    </row>
    <row r="129" spans="1:9">
      <c r="A129" t="s">
        <v>192</v>
      </c>
      <c r="B129" s="3">
        <v>45854</v>
      </c>
      <c r="C129" t="s">
        <v>16</v>
      </c>
      <c r="D129" t="s">
        <v>36</v>
      </c>
      <c r="E129" t="s">
        <v>37</v>
      </c>
      <c r="F129" t="s">
        <v>45</v>
      </c>
      <c r="G129" t="s">
        <v>46</v>
      </c>
      <c r="H129" s="4">
        <v>850</v>
      </c>
      <c r="I129" s="5">
        <v>28423.06</v>
      </c>
    </row>
    <row r="130" spans="1:9">
      <c r="A130" t="s">
        <v>193</v>
      </c>
      <c r="B130" s="3">
        <v>45699</v>
      </c>
      <c r="C130" t="s">
        <v>106</v>
      </c>
      <c r="D130" t="s">
        <v>91</v>
      </c>
      <c r="E130" t="s">
        <v>60</v>
      </c>
      <c r="F130" t="s">
        <v>13</v>
      </c>
      <c r="G130" t="s">
        <v>14</v>
      </c>
      <c r="H130" s="4">
        <v>1187</v>
      </c>
      <c r="I130" s="5">
        <v>66619.520000000004</v>
      </c>
    </row>
    <row r="131" spans="1:9">
      <c r="A131" t="s">
        <v>194</v>
      </c>
      <c r="B131" s="3">
        <v>45713</v>
      </c>
      <c r="C131" t="s">
        <v>35</v>
      </c>
      <c r="D131" t="s">
        <v>40</v>
      </c>
      <c r="E131" t="s">
        <v>23</v>
      </c>
      <c r="F131" t="s">
        <v>41</v>
      </c>
      <c r="G131" t="s">
        <v>42</v>
      </c>
      <c r="H131" s="4">
        <v>2310</v>
      </c>
      <c r="I131" s="5">
        <v>78043.45</v>
      </c>
    </row>
    <row r="132" spans="1:9">
      <c r="A132" t="s">
        <v>195</v>
      </c>
      <c r="B132" s="3">
        <v>45758</v>
      </c>
      <c r="C132" t="s">
        <v>78</v>
      </c>
      <c r="D132" t="s">
        <v>67</v>
      </c>
      <c r="E132" t="s">
        <v>50</v>
      </c>
      <c r="F132" t="s">
        <v>51</v>
      </c>
      <c r="G132" t="s">
        <v>52</v>
      </c>
      <c r="H132" s="4">
        <v>2179</v>
      </c>
      <c r="I132" s="5">
        <v>265187.5</v>
      </c>
    </row>
    <row r="133" spans="1:9">
      <c r="A133" t="s">
        <v>196</v>
      </c>
      <c r="B133" s="3">
        <v>45969</v>
      </c>
      <c r="C133" t="s">
        <v>106</v>
      </c>
      <c r="D133" t="s">
        <v>17</v>
      </c>
      <c r="E133" t="s">
        <v>12</v>
      </c>
      <c r="F133" t="s">
        <v>45</v>
      </c>
      <c r="G133" t="s">
        <v>46</v>
      </c>
      <c r="H133" s="4">
        <v>1430</v>
      </c>
      <c r="I133" s="5">
        <v>44831.11</v>
      </c>
    </row>
    <row r="134" spans="1:9">
      <c r="A134" t="s">
        <v>197</v>
      </c>
      <c r="B134" s="3">
        <v>45698</v>
      </c>
      <c r="C134" t="s">
        <v>44</v>
      </c>
      <c r="D134" t="s">
        <v>22</v>
      </c>
      <c r="E134" t="s">
        <v>23</v>
      </c>
      <c r="F134" t="s">
        <v>18</v>
      </c>
      <c r="G134" t="s">
        <v>19</v>
      </c>
      <c r="H134" s="4">
        <v>2455</v>
      </c>
      <c r="I134" s="5">
        <v>138063.78</v>
      </c>
    </row>
    <row r="135" spans="1:9">
      <c r="A135" t="s">
        <v>198</v>
      </c>
      <c r="B135" s="3">
        <v>45934</v>
      </c>
      <c r="C135" t="s">
        <v>106</v>
      </c>
      <c r="D135" t="s">
        <v>22</v>
      </c>
      <c r="E135" t="s">
        <v>23</v>
      </c>
      <c r="F135" t="s">
        <v>32</v>
      </c>
      <c r="G135" t="s">
        <v>33</v>
      </c>
      <c r="H135" s="4">
        <v>1272</v>
      </c>
      <c r="I135" s="5">
        <v>39276.800000000003</v>
      </c>
    </row>
    <row r="136" spans="1:9">
      <c r="A136" t="s">
        <v>199</v>
      </c>
      <c r="B136" s="3">
        <v>45766</v>
      </c>
      <c r="C136" t="s">
        <v>99</v>
      </c>
      <c r="D136" t="s">
        <v>65</v>
      </c>
      <c r="E136" t="s">
        <v>29</v>
      </c>
      <c r="F136" t="s">
        <v>45</v>
      </c>
      <c r="G136" t="s">
        <v>46</v>
      </c>
      <c r="H136" s="4">
        <v>1414</v>
      </c>
      <c r="I136" s="5">
        <v>30086.78</v>
      </c>
    </row>
    <row r="137" spans="1:9">
      <c r="A137" t="s">
        <v>200</v>
      </c>
      <c r="B137" s="3">
        <v>45927</v>
      </c>
      <c r="C137" t="s">
        <v>16</v>
      </c>
      <c r="D137" t="s">
        <v>28</v>
      </c>
      <c r="E137" t="s">
        <v>29</v>
      </c>
      <c r="F137" t="s">
        <v>41</v>
      </c>
      <c r="G137" t="s">
        <v>42</v>
      </c>
      <c r="H137" s="4">
        <v>1420</v>
      </c>
      <c r="I137" s="5">
        <v>40053.760000000002</v>
      </c>
    </row>
    <row r="138" spans="1:9">
      <c r="A138" t="s">
        <v>201</v>
      </c>
      <c r="B138" s="3">
        <v>45919</v>
      </c>
      <c r="C138" t="s">
        <v>97</v>
      </c>
      <c r="D138" t="s">
        <v>59</v>
      </c>
      <c r="E138" t="s">
        <v>60</v>
      </c>
      <c r="F138" t="s">
        <v>18</v>
      </c>
      <c r="G138" t="s">
        <v>19</v>
      </c>
      <c r="H138" s="4">
        <v>1891</v>
      </c>
      <c r="I138" s="5">
        <v>106327.27</v>
      </c>
    </row>
    <row r="139" spans="1:9">
      <c r="A139" t="s">
        <v>202</v>
      </c>
      <c r="B139" s="3">
        <v>45979</v>
      </c>
      <c r="C139" t="s">
        <v>112</v>
      </c>
      <c r="D139" t="s">
        <v>67</v>
      </c>
      <c r="E139" t="s">
        <v>50</v>
      </c>
      <c r="F139" t="s">
        <v>41</v>
      </c>
      <c r="G139" t="s">
        <v>42</v>
      </c>
      <c r="H139" s="4">
        <v>2927</v>
      </c>
      <c r="I139" s="5">
        <v>89886.24</v>
      </c>
    </row>
    <row r="140" spans="1:9">
      <c r="A140" t="s">
        <v>203</v>
      </c>
      <c r="B140" s="3">
        <v>45868</v>
      </c>
      <c r="C140" t="s">
        <v>204</v>
      </c>
      <c r="D140" t="s">
        <v>17</v>
      </c>
      <c r="E140" t="s">
        <v>12</v>
      </c>
      <c r="F140" t="s">
        <v>32</v>
      </c>
      <c r="G140" t="s">
        <v>33</v>
      </c>
      <c r="H140" s="4">
        <v>1039</v>
      </c>
      <c r="I140" s="5">
        <v>55242.98</v>
      </c>
    </row>
    <row r="141" spans="1:9">
      <c r="A141" t="s">
        <v>205</v>
      </c>
      <c r="B141" s="3">
        <v>45953</v>
      </c>
      <c r="C141" t="s">
        <v>44</v>
      </c>
      <c r="D141" t="s">
        <v>22</v>
      </c>
      <c r="E141" t="s">
        <v>23</v>
      </c>
      <c r="F141" t="s">
        <v>45</v>
      </c>
      <c r="G141" t="s">
        <v>46</v>
      </c>
      <c r="H141" s="4">
        <v>1858</v>
      </c>
      <c r="I141" s="5">
        <v>42729.32</v>
      </c>
    </row>
    <row r="142" spans="1:9">
      <c r="A142" t="s">
        <v>206</v>
      </c>
      <c r="B142" s="3">
        <v>46182</v>
      </c>
      <c r="C142" t="s">
        <v>102</v>
      </c>
      <c r="D142" t="s">
        <v>49</v>
      </c>
      <c r="E142" t="s">
        <v>50</v>
      </c>
      <c r="F142" t="s">
        <v>45</v>
      </c>
      <c r="G142" t="s">
        <v>46</v>
      </c>
      <c r="H142" s="4">
        <v>1961</v>
      </c>
      <c r="I142" s="5">
        <v>76620.58</v>
      </c>
    </row>
    <row r="143" spans="1:9">
      <c r="A143" t="s">
        <v>207</v>
      </c>
      <c r="B143" s="3">
        <v>46093</v>
      </c>
      <c r="C143" t="s">
        <v>25</v>
      </c>
      <c r="D143" t="s">
        <v>49</v>
      </c>
      <c r="E143" t="s">
        <v>50</v>
      </c>
      <c r="F143" t="s">
        <v>41</v>
      </c>
      <c r="G143" t="s">
        <v>42</v>
      </c>
      <c r="H143" s="4">
        <v>824</v>
      </c>
      <c r="I143" s="5">
        <v>35223.74</v>
      </c>
    </row>
    <row r="144" spans="1:9">
      <c r="A144" t="s">
        <v>208</v>
      </c>
      <c r="B144" s="3">
        <v>46208</v>
      </c>
      <c r="C144" t="s">
        <v>108</v>
      </c>
      <c r="D144" t="s">
        <v>67</v>
      </c>
      <c r="E144" t="s">
        <v>50</v>
      </c>
      <c r="F144" t="s">
        <v>41</v>
      </c>
      <c r="G144" t="s">
        <v>42</v>
      </c>
      <c r="H144" s="4">
        <v>1738</v>
      </c>
      <c r="I144" s="5">
        <v>62476.84</v>
      </c>
    </row>
    <row r="145" spans="1:9">
      <c r="A145" t="s">
        <v>209</v>
      </c>
      <c r="B145" s="3">
        <v>46223</v>
      </c>
      <c r="C145" t="s">
        <v>25</v>
      </c>
      <c r="D145" t="s">
        <v>67</v>
      </c>
      <c r="E145" t="s">
        <v>50</v>
      </c>
      <c r="F145" t="s">
        <v>51</v>
      </c>
      <c r="G145" t="s">
        <v>52</v>
      </c>
      <c r="H145" s="4">
        <v>0</v>
      </c>
      <c r="I145" s="5">
        <v>105996.43</v>
      </c>
    </row>
    <row r="146" spans="1:9">
      <c r="A146" t="s">
        <v>210</v>
      </c>
      <c r="B146" s="3">
        <v>46165</v>
      </c>
      <c r="C146" t="s">
        <v>10</v>
      </c>
      <c r="D146" t="s">
        <v>67</v>
      </c>
      <c r="E146" t="s">
        <v>50</v>
      </c>
      <c r="F146" t="s">
        <v>51</v>
      </c>
      <c r="G146" t="s">
        <v>52</v>
      </c>
      <c r="H146" s="4">
        <v>808</v>
      </c>
      <c r="I146" s="5">
        <v>77289.259999999995</v>
      </c>
    </row>
    <row r="147" spans="1:9">
      <c r="A147" t="s">
        <v>211</v>
      </c>
      <c r="B147" s="3">
        <v>46218</v>
      </c>
      <c r="C147" t="s">
        <v>102</v>
      </c>
      <c r="D147" t="s">
        <v>49</v>
      </c>
      <c r="E147" t="s">
        <v>50</v>
      </c>
      <c r="F147" t="s">
        <v>13</v>
      </c>
      <c r="G147" t="s">
        <v>14</v>
      </c>
      <c r="H147" s="4">
        <v>492</v>
      </c>
      <c r="I147" s="5">
        <v>24250.83</v>
      </c>
    </row>
    <row r="148" spans="1:9">
      <c r="A148" t="s">
        <v>212</v>
      </c>
      <c r="B148" s="3">
        <v>46027</v>
      </c>
      <c r="C148" t="s">
        <v>44</v>
      </c>
      <c r="D148" t="s">
        <v>67</v>
      </c>
      <c r="E148" t="s">
        <v>50</v>
      </c>
      <c r="F148" t="s">
        <v>18</v>
      </c>
      <c r="G148" t="s">
        <v>19</v>
      </c>
      <c r="H148" s="4">
        <v>776</v>
      </c>
      <c r="I148" s="5">
        <v>53163.46</v>
      </c>
    </row>
    <row r="149" spans="1:9">
      <c r="A149" t="s">
        <v>213</v>
      </c>
      <c r="B149" s="3">
        <v>46226</v>
      </c>
      <c r="C149" t="s">
        <v>214</v>
      </c>
      <c r="D149" t="s">
        <v>11</v>
      </c>
      <c r="E149" t="s">
        <v>12</v>
      </c>
      <c r="F149" t="s">
        <v>41</v>
      </c>
      <c r="G149" t="s">
        <v>42</v>
      </c>
      <c r="H149" s="4">
        <v>1874</v>
      </c>
      <c r="I149" s="5">
        <v>63633.54</v>
      </c>
    </row>
    <row r="150" spans="1:9">
      <c r="A150" t="s">
        <v>215</v>
      </c>
      <c r="B150" s="3">
        <v>46258</v>
      </c>
      <c r="C150" t="s">
        <v>54</v>
      </c>
      <c r="D150" t="s">
        <v>65</v>
      </c>
      <c r="E150" t="s">
        <v>29</v>
      </c>
      <c r="F150" t="s">
        <v>41</v>
      </c>
      <c r="G150" t="s">
        <v>42</v>
      </c>
      <c r="H150" s="4">
        <v>616</v>
      </c>
      <c r="I150" s="5">
        <v>23912.21</v>
      </c>
    </row>
    <row r="151" spans="1:9">
      <c r="A151" t="s">
        <v>216</v>
      </c>
      <c r="B151" s="3">
        <v>46128</v>
      </c>
      <c r="C151" t="s">
        <v>69</v>
      </c>
      <c r="D151" t="s">
        <v>11</v>
      </c>
      <c r="E151" t="s">
        <v>12</v>
      </c>
      <c r="F151" t="s">
        <v>45</v>
      </c>
      <c r="G151" t="s">
        <v>46</v>
      </c>
      <c r="H151" s="4">
        <v>1485</v>
      </c>
      <c r="I151" s="5">
        <v>50200.73</v>
      </c>
    </row>
    <row r="152" spans="1:9">
      <c r="A152" t="s">
        <v>217</v>
      </c>
      <c r="B152" s="3">
        <v>46251</v>
      </c>
      <c r="C152" t="s">
        <v>108</v>
      </c>
      <c r="D152" t="s">
        <v>65</v>
      </c>
      <c r="E152" t="s">
        <v>29</v>
      </c>
      <c r="F152" t="s">
        <v>32</v>
      </c>
      <c r="G152" t="s">
        <v>33</v>
      </c>
      <c r="H152" s="4">
        <v>610</v>
      </c>
      <c r="I152" s="5">
        <v>22846.75</v>
      </c>
    </row>
    <row r="153" spans="1:9">
      <c r="A153" t="s">
        <v>218</v>
      </c>
      <c r="B153" s="3">
        <v>46251</v>
      </c>
      <c r="C153" t="s">
        <v>25</v>
      </c>
      <c r="D153" t="s">
        <v>67</v>
      </c>
      <c r="E153" t="s">
        <v>50</v>
      </c>
      <c r="F153" t="s">
        <v>32</v>
      </c>
      <c r="G153" t="s">
        <v>33</v>
      </c>
      <c r="H153" s="4">
        <v>2839</v>
      </c>
      <c r="I153" s="5">
        <v>134224.82999999999</v>
      </c>
    </row>
    <row r="154" spans="1:9">
      <c r="A154" t="s">
        <v>219</v>
      </c>
      <c r="B154" s="3">
        <v>46162</v>
      </c>
      <c r="C154" t="s">
        <v>56</v>
      </c>
      <c r="D154" t="s">
        <v>67</v>
      </c>
      <c r="E154" t="s">
        <v>50</v>
      </c>
      <c r="F154" t="s">
        <v>32</v>
      </c>
      <c r="G154" t="s">
        <v>33</v>
      </c>
      <c r="H154" s="4">
        <v>710</v>
      </c>
      <c r="I154" s="5">
        <v>31869.24</v>
      </c>
    </row>
    <row r="155" spans="1:9">
      <c r="A155" t="s">
        <v>220</v>
      </c>
      <c r="B155" s="3">
        <v>46026</v>
      </c>
      <c r="C155" t="s">
        <v>87</v>
      </c>
      <c r="D155" t="s">
        <v>59</v>
      </c>
      <c r="E155" t="s">
        <v>60</v>
      </c>
      <c r="F155" t="s">
        <v>13</v>
      </c>
      <c r="G155" t="s">
        <v>14</v>
      </c>
      <c r="H155" s="4">
        <v>1618</v>
      </c>
      <c r="I155" s="5">
        <v>131257.24</v>
      </c>
    </row>
    <row r="156" spans="1:9">
      <c r="A156" t="s">
        <v>221</v>
      </c>
      <c r="B156" s="3">
        <v>46104</v>
      </c>
      <c r="C156" t="s">
        <v>31</v>
      </c>
      <c r="D156" t="s">
        <v>17</v>
      </c>
      <c r="E156" t="s">
        <v>12</v>
      </c>
      <c r="F156" t="s">
        <v>45</v>
      </c>
      <c r="G156" t="s">
        <v>46</v>
      </c>
      <c r="H156" s="4">
        <v>446</v>
      </c>
      <c r="I156" s="5">
        <v>14753.47</v>
      </c>
    </row>
    <row r="157" spans="1:9">
      <c r="A157" t="s">
        <v>222</v>
      </c>
      <c r="B157" s="3">
        <v>46069</v>
      </c>
      <c r="C157" t="s">
        <v>73</v>
      </c>
      <c r="D157" t="s">
        <v>17</v>
      </c>
      <c r="E157" t="s">
        <v>12</v>
      </c>
      <c r="F157" t="s">
        <v>51</v>
      </c>
      <c r="G157" t="s">
        <v>52</v>
      </c>
      <c r="H157" s="4">
        <v>1408</v>
      </c>
      <c r="I157" s="5">
        <v>135055.07</v>
      </c>
    </row>
    <row r="158" spans="1:9">
      <c r="A158" t="s">
        <v>223</v>
      </c>
      <c r="B158" s="3">
        <v>46028</v>
      </c>
      <c r="C158" t="s">
        <v>97</v>
      </c>
      <c r="D158" t="s">
        <v>11</v>
      </c>
      <c r="E158" t="s">
        <v>12</v>
      </c>
      <c r="F158" t="s">
        <v>45</v>
      </c>
      <c r="G158" t="s">
        <v>46</v>
      </c>
      <c r="H158" s="4">
        <v>1818</v>
      </c>
      <c r="I158" s="5">
        <v>64214.63</v>
      </c>
    </row>
    <row r="159" spans="1:9">
      <c r="A159" t="s">
        <v>224</v>
      </c>
      <c r="B159" s="3">
        <v>46230</v>
      </c>
      <c r="C159" t="s">
        <v>69</v>
      </c>
      <c r="D159" t="s">
        <v>67</v>
      </c>
      <c r="E159" t="s">
        <v>50</v>
      </c>
      <c r="F159" t="s">
        <v>51</v>
      </c>
      <c r="G159" t="s">
        <v>52</v>
      </c>
      <c r="H159" s="4">
        <v>1969</v>
      </c>
      <c r="I159" s="5">
        <v>144915.32</v>
      </c>
    </row>
    <row r="160" spans="1:9">
      <c r="A160" t="s">
        <v>225</v>
      </c>
      <c r="B160" s="3">
        <v>46215</v>
      </c>
      <c r="C160" t="s">
        <v>112</v>
      </c>
      <c r="D160" t="s">
        <v>59</v>
      </c>
      <c r="E160" t="s">
        <v>60</v>
      </c>
      <c r="F160" t="s">
        <v>45</v>
      </c>
      <c r="G160" t="s">
        <v>46</v>
      </c>
      <c r="H160" s="4">
        <v>1294</v>
      </c>
      <c r="I160" s="5">
        <v>37071.15</v>
      </c>
    </row>
    <row r="161" spans="1:9">
      <c r="A161" t="s">
        <v>226</v>
      </c>
      <c r="B161" s="3">
        <v>46041</v>
      </c>
      <c r="C161" t="s">
        <v>112</v>
      </c>
      <c r="D161" t="s">
        <v>57</v>
      </c>
      <c r="E161" t="s">
        <v>37</v>
      </c>
      <c r="F161" t="s">
        <v>18</v>
      </c>
      <c r="G161" t="s">
        <v>19</v>
      </c>
      <c r="H161" s="4">
        <v>1436</v>
      </c>
      <c r="I161" s="5">
        <v>101698.01</v>
      </c>
    </row>
    <row r="162" spans="1:9">
      <c r="A162" t="s">
        <v>227</v>
      </c>
      <c r="B162" s="3">
        <v>46050</v>
      </c>
      <c r="C162" t="s">
        <v>78</v>
      </c>
      <c r="D162" t="s">
        <v>17</v>
      </c>
      <c r="E162" t="s">
        <v>12</v>
      </c>
      <c r="F162" t="s">
        <v>18</v>
      </c>
      <c r="G162" t="s">
        <v>19</v>
      </c>
      <c r="H162" s="4">
        <v>840</v>
      </c>
      <c r="I162" s="5">
        <v>47920.55</v>
      </c>
    </row>
    <row r="163" spans="1:9">
      <c r="A163" t="s">
        <v>228</v>
      </c>
      <c r="B163" s="3">
        <v>46054</v>
      </c>
      <c r="C163" t="s">
        <v>78</v>
      </c>
      <c r="D163" t="s">
        <v>67</v>
      </c>
      <c r="E163" t="s">
        <v>50</v>
      </c>
      <c r="F163" t="s">
        <v>18</v>
      </c>
      <c r="G163" t="s">
        <v>19</v>
      </c>
      <c r="H163" s="4">
        <v>1010</v>
      </c>
      <c r="I163" s="5">
        <v>68661.740000000005</v>
      </c>
    </row>
    <row r="164" spans="1:9">
      <c r="A164" t="s">
        <v>229</v>
      </c>
      <c r="B164" s="3">
        <v>46245</v>
      </c>
      <c r="C164" t="s">
        <v>106</v>
      </c>
      <c r="D164" t="s">
        <v>17</v>
      </c>
      <c r="E164" t="s">
        <v>12</v>
      </c>
      <c r="F164" t="s">
        <v>45</v>
      </c>
      <c r="G164" t="s">
        <v>46</v>
      </c>
      <c r="H164" s="4">
        <v>2086</v>
      </c>
      <c r="I164" s="5">
        <v>81518.61</v>
      </c>
    </row>
    <row r="165" spans="1:9">
      <c r="A165" t="s">
        <v>230</v>
      </c>
      <c r="B165" s="3">
        <v>46230</v>
      </c>
      <c r="C165" t="s">
        <v>35</v>
      </c>
      <c r="D165" t="s">
        <v>49</v>
      </c>
      <c r="E165" t="s">
        <v>50</v>
      </c>
      <c r="F165" t="s">
        <v>13</v>
      </c>
      <c r="G165" t="s">
        <v>14</v>
      </c>
      <c r="H165" s="4">
        <v>1480</v>
      </c>
      <c r="I165" s="5">
        <v>81884.55</v>
      </c>
    </row>
    <row r="166" spans="1:9">
      <c r="A166" t="s">
        <v>231</v>
      </c>
      <c r="B166" s="3">
        <v>46091</v>
      </c>
      <c r="C166" t="s">
        <v>56</v>
      </c>
      <c r="D166" t="s">
        <v>22</v>
      </c>
      <c r="E166" t="s">
        <v>23</v>
      </c>
      <c r="F166" t="s">
        <v>45</v>
      </c>
      <c r="G166" t="s">
        <v>46</v>
      </c>
      <c r="H166" s="4">
        <v>1918</v>
      </c>
      <c r="I166" s="5">
        <v>74892.759999999995</v>
      </c>
    </row>
    <row r="167" spans="1:9">
      <c r="A167" t="s">
        <v>232</v>
      </c>
      <c r="B167" s="3">
        <v>46100</v>
      </c>
      <c r="C167" t="s">
        <v>99</v>
      </c>
      <c r="D167" t="s">
        <v>59</v>
      </c>
      <c r="E167" t="s">
        <v>60</v>
      </c>
      <c r="F167" t="s">
        <v>18</v>
      </c>
      <c r="G167" t="s">
        <v>19</v>
      </c>
      <c r="H167" s="4">
        <v>2113</v>
      </c>
      <c r="I167" s="5">
        <v>103767.35</v>
      </c>
    </row>
    <row r="168" spans="1:9">
      <c r="A168" t="s">
        <v>233</v>
      </c>
      <c r="B168" s="3">
        <v>46163</v>
      </c>
      <c r="C168" t="s">
        <v>31</v>
      </c>
      <c r="D168" t="s">
        <v>11</v>
      </c>
      <c r="E168" t="s">
        <v>12</v>
      </c>
      <c r="F168" t="s">
        <v>13</v>
      </c>
      <c r="G168" t="s">
        <v>14</v>
      </c>
      <c r="H168" s="4">
        <v>793</v>
      </c>
      <c r="I168" s="5">
        <v>46772.63</v>
      </c>
    </row>
    <row r="169" spans="1:9">
      <c r="A169" t="s">
        <v>234</v>
      </c>
      <c r="B169" s="3">
        <v>46262</v>
      </c>
      <c r="C169" t="s">
        <v>35</v>
      </c>
      <c r="D169" t="s">
        <v>11</v>
      </c>
      <c r="E169" t="s">
        <v>12</v>
      </c>
      <c r="F169" t="s">
        <v>18</v>
      </c>
      <c r="G169" t="s">
        <v>19</v>
      </c>
      <c r="H169" s="4">
        <v>3079</v>
      </c>
      <c r="I169" s="5">
        <v>209291.95</v>
      </c>
    </row>
    <row r="170" spans="1:9">
      <c r="A170" t="s">
        <v>235</v>
      </c>
      <c r="B170" s="3">
        <v>46180</v>
      </c>
      <c r="C170" t="s">
        <v>108</v>
      </c>
      <c r="D170" t="s">
        <v>22</v>
      </c>
      <c r="E170" t="s">
        <v>23</v>
      </c>
      <c r="F170" t="s">
        <v>32</v>
      </c>
      <c r="G170" t="s">
        <v>33</v>
      </c>
      <c r="H170" s="4">
        <v>832</v>
      </c>
      <c r="I170" s="5">
        <v>35425.660000000003</v>
      </c>
    </row>
    <row r="171" spans="1:9">
      <c r="A171" t="s">
        <v>236</v>
      </c>
      <c r="B171" s="3">
        <v>46237</v>
      </c>
      <c r="C171" t="s">
        <v>73</v>
      </c>
      <c r="D171" t="s">
        <v>28</v>
      </c>
      <c r="E171" t="s">
        <v>29</v>
      </c>
      <c r="F171" t="s">
        <v>32</v>
      </c>
      <c r="G171" t="s">
        <v>33</v>
      </c>
      <c r="H171" s="4">
        <v>1020</v>
      </c>
      <c r="I171" s="5">
        <v>33208.47</v>
      </c>
    </row>
    <row r="172" spans="1:9">
      <c r="A172" t="s">
        <v>237</v>
      </c>
      <c r="B172" s="3">
        <v>46136</v>
      </c>
      <c r="C172" t="s">
        <v>238</v>
      </c>
      <c r="D172" t="s">
        <v>11</v>
      </c>
      <c r="E172" t="s">
        <v>12</v>
      </c>
      <c r="F172" t="s">
        <v>45</v>
      </c>
      <c r="G172" t="s">
        <v>46</v>
      </c>
      <c r="H172" s="4">
        <v>2497</v>
      </c>
      <c r="I172" s="5">
        <v>66353.13</v>
      </c>
    </row>
    <row r="173" spans="1:9">
      <c r="A173" t="s">
        <v>239</v>
      </c>
      <c r="B173" s="3">
        <v>46183</v>
      </c>
      <c r="C173" t="s">
        <v>214</v>
      </c>
      <c r="D173" t="s">
        <v>67</v>
      </c>
      <c r="E173" t="s">
        <v>50</v>
      </c>
      <c r="F173" t="s">
        <v>45</v>
      </c>
      <c r="G173" t="s">
        <v>46</v>
      </c>
      <c r="H173" s="4">
        <v>1564</v>
      </c>
      <c r="I173" s="5">
        <v>46831.5</v>
      </c>
    </row>
    <row r="174" spans="1:9">
      <c r="A174" t="s">
        <v>240</v>
      </c>
      <c r="B174" s="3">
        <v>46182</v>
      </c>
      <c r="C174" t="s">
        <v>108</v>
      </c>
      <c r="D174" t="s">
        <v>49</v>
      </c>
      <c r="E174" t="s">
        <v>50</v>
      </c>
      <c r="F174" t="s">
        <v>45</v>
      </c>
      <c r="G174" t="s">
        <v>46</v>
      </c>
      <c r="H174" s="4">
        <v>1079</v>
      </c>
      <c r="I174" s="5">
        <v>24493.54</v>
      </c>
    </row>
    <row r="175" spans="1:9">
      <c r="A175" t="s">
        <v>241</v>
      </c>
      <c r="B175" s="3">
        <v>46257</v>
      </c>
      <c r="C175" t="s">
        <v>56</v>
      </c>
      <c r="D175" t="s">
        <v>36</v>
      </c>
      <c r="E175" t="s">
        <v>37</v>
      </c>
      <c r="F175" t="s">
        <v>45</v>
      </c>
      <c r="G175" t="s">
        <v>46</v>
      </c>
      <c r="H175" s="4">
        <v>1289</v>
      </c>
      <c r="I175" s="5">
        <v>47837.33</v>
      </c>
    </row>
    <row r="176" spans="1:9">
      <c r="A176" t="s">
        <v>242</v>
      </c>
      <c r="B176" s="3">
        <v>46257</v>
      </c>
      <c r="C176" t="s">
        <v>73</v>
      </c>
      <c r="D176" t="s">
        <v>57</v>
      </c>
      <c r="E176" t="s">
        <v>37</v>
      </c>
      <c r="F176" t="s">
        <v>45</v>
      </c>
      <c r="G176" t="s">
        <v>46</v>
      </c>
      <c r="H176" s="4">
        <v>1256</v>
      </c>
      <c r="I176" s="5">
        <v>42999.98</v>
      </c>
    </row>
    <row r="177" spans="1:9">
      <c r="A177" t="s">
        <v>243</v>
      </c>
      <c r="B177" s="3">
        <v>46231</v>
      </c>
      <c r="C177" t="s">
        <v>78</v>
      </c>
      <c r="D177" t="s">
        <v>36</v>
      </c>
      <c r="E177" t="s">
        <v>37</v>
      </c>
      <c r="F177" t="s">
        <v>41</v>
      </c>
      <c r="G177" t="s">
        <v>42</v>
      </c>
      <c r="H177" s="4">
        <v>594</v>
      </c>
      <c r="I177" s="5">
        <v>19169.64</v>
      </c>
    </row>
    <row r="178" spans="1:9">
      <c r="A178" t="s">
        <v>244</v>
      </c>
      <c r="B178" s="3">
        <v>46259</v>
      </c>
      <c r="C178" t="s">
        <v>108</v>
      </c>
      <c r="D178" t="s">
        <v>49</v>
      </c>
      <c r="E178" t="s">
        <v>50</v>
      </c>
      <c r="F178" t="s">
        <v>13</v>
      </c>
      <c r="G178" t="s">
        <v>14</v>
      </c>
      <c r="H178" s="4">
        <v>1001</v>
      </c>
      <c r="I178" s="5">
        <v>53771.11</v>
      </c>
    </row>
    <row r="179" spans="1:9">
      <c r="A179" t="s">
        <v>245</v>
      </c>
      <c r="B179" s="3">
        <v>46220</v>
      </c>
      <c r="C179" t="s">
        <v>106</v>
      </c>
      <c r="D179" t="s">
        <v>65</v>
      </c>
      <c r="E179" t="s">
        <v>29</v>
      </c>
      <c r="F179" t="s">
        <v>45</v>
      </c>
      <c r="G179" t="s">
        <v>46</v>
      </c>
      <c r="H179" s="4">
        <v>887</v>
      </c>
      <c r="I179" s="5">
        <v>34482.31</v>
      </c>
    </row>
    <row r="180" spans="1:9">
      <c r="A180" t="s">
        <v>246</v>
      </c>
      <c r="B180" s="3">
        <v>46230</v>
      </c>
      <c r="C180" t="s">
        <v>106</v>
      </c>
      <c r="D180" t="s">
        <v>67</v>
      </c>
      <c r="E180" t="s">
        <v>50</v>
      </c>
      <c r="F180" t="s">
        <v>41</v>
      </c>
      <c r="G180" t="s">
        <v>42</v>
      </c>
      <c r="H180" s="4">
        <v>645</v>
      </c>
      <c r="I180" s="5">
        <v>21570.85</v>
      </c>
    </row>
    <row r="181" spans="1:9">
      <c r="A181" t="s">
        <v>247</v>
      </c>
      <c r="B181" s="3">
        <v>46209</v>
      </c>
      <c r="C181" t="s">
        <v>25</v>
      </c>
      <c r="D181" t="s">
        <v>11</v>
      </c>
      <c r="E181" t="s">
        <v>12</v>
      </c>
      <c r="F181" t="s">
        <v>18</v>
      </c>
      <c r="G181" t="s">
        <v>19</v>
      </c>
      <c r="H181" s="4">
        <v>766</v>
      </c>
      <c r="I181" s="5">
        <v>31965.35</v>
      </c>
    </row>
    <row r="182" spans="1:9">
      <c r="A182" t="s">
        <v>248</v>
      </c>
      <c r="B182" s="3">
        <v>46227</v>
      </c>
      <c r="C182" t="s">
        <v>89</v>
      </c>
      <c r="D182" t="s">
        <v>67</v>
      </c>
      <c r="E182" t="s">
        <v>50</v>
      </c>
      <c r="F182" t="s">
        <v>41</v>
      </c>
      <c r="G182" t="s">
        <v>42</v>
      </c>
      <c r="H182" s="4">
        <v>2282</v>
      </c>
      <c r="I182" s="5">
        <v>108541.12</v>
      </c>
    </row>
    <row r="183" spans="1:9">
      <c r="A183" t="s">
        <v>249</v>
      </c>
      <c r="B183" s="3">
        <v>46116</v>
      </c>
      <c r="C183" t="s">
        <v>21</v>
      </c>
      <c r="D183" t="s">
        <v>28</v>
      </c>
      <c r="E183" t="s">
        <v>29</v>
      </c>
      <c r="F183" t="s">
        <v>18</v>
      </c>
      <c r="G183" t="s">
        <v>19</v>
      </c>
      <c r="H183" s="4">
        <v>1850</v>
      </c>
      <c r="I183" s="5">
        <v>114526.56</v>
      </c>
    </row>
    <row r="184" spans="1:9">
      <c r="A184" t="s">
        <v>250</v>
      </c>
      <c r="B184" s="3">
        <v>46127</v>
      </c>
      <c r="C184" t="s">
        <v>25</v>
      </c>
      <c r="D184" t="s">
        <v>17</v>
      </c>
      <c r="E184" t="s">
        <v>12</v>
      </c>
      <c r="F184" t="s">
        <v>32</v>
      </c>
      <c r="G184" t="s">
        <v>33</v>
      </c>
      <c r="H184" s="4">
        <v>2815</v>
      </c>
      <c r="I184" s="5">
        <v>95096.36</v>
      </c>
    </row>
    <row r="185" spans="1:9">
      <c r="A185" t="s">
        <v>251</v>
      </c>
      <c r="B185" s="3">
        <v>46031</v>
      </c>
      <c r="C185" t="s">
        <v>27</v>
      </c>
      <c r="D185" t="s">
        <v>36</v>
      </c>
      <c r="E185" t="s">
        <v>37</v>
      </c>
      <c r="F185" t="s">
        <v>45</v>
      </c>
      <c r="G185" t="s">
        <v>46</v>
      </c>
      <c r="H185" s="4">
        <v>914</v>
      </c>
      <c r="I185" s="5">
        <v>35720.629999999997</v>
      </c>
    </row>
    <row r="186" spans="1:9">
      <c r="A186" t="s">
        <v>252</v>
      </c>
      <c r="B186" s="3">
        <v>46249</v>
      </c>
      <c r="C186" t="s">
        <v>78</v>
      </c>
      <c r="D186" t="s">
        <v>17</v>
      </c>
      <c r="E186" t="s">
        <v>12</v>
      </c>
      <c r="F186" t="s">
        <v>18</v>
      </c>
      <c r="G186" t="s">
        <v>19</v>
      </c>
      <c r="H186" s="4">
        <v>804</v>
      </c>
      <c r="I186" s="5">
        <v>50304.93</v>
      </c>
    </row>
    <row r="187" spans="1:9">
      <c r="A187" t="s">
        <v>253</v>
      </c>
      <c r="B187" s="3">
        <v>46066</v>
      </c>
      <c r="C187" t="s">
        <v>112</v>
      </c>
      <c r="D187" t="s">
        <v>11</v>
      </c>
      <c r="E187" t="s">
        <v>12</v>
      </c>
      <c r="F187" t="s">
        <v>41</v>
      </c>
      <c r="G187" t="s">
        <v>42</v>
      </c>
      <c r="H187" s="4">
        <v>1446</v>
      </c>
      <c r="I187" s="5">
        <v>54203.17</v>
      </c>
    </row>
    <row r="188" spans="1:9">
      <c r="A188" t="s">
        <v>254</v>
      </c>
      <c r="B188" s="3">
        <v>46254</v>
      </c>
      <c r="C188" t="s">
        <v>48</v>
      </c>
      <c r="D188" t="s">
        <v>36</v>
      </c>
      <c r="E188" t="s">
        <v>37</v>
      </c>
      <c r="F188" t="s">
        <v>41</v>
      </c>
      <c r="G188" t="s">
        <v>42</v>
      </c>
      <c r="H188" s="4">
        <v>883</v>
      </c>
      <c r="I188" s="5">
        <v>35679.919999999998</v>
      </c>
    </row>
    <row r="189" spans="1:9">
      <c r="A189" t="s">
        <v>255</v>
      </c>
      <c r="B189" s="3">
        <v>46077</v>
      </c>
      <c r="C189" t="s">
        <v>108</v>
      </c>
      <c r="D189" t="s">
        <v>17</v>
      </c>
      <c r="E189" t="s">
        <v>12</v>
      </c>
      <c r="F189" t="s">
        <v>51</v>
      </c>
      <c r="G189" t="s">
        <v>52</v>
      </c>
      <c r="H189" s="4">
        <v>923</v>
      </c>
      <c r="I189" s="5">
        <v>111287.18</v>
      </c>
    </row>
    <row r="190" spans="1:9">
      <c r="A190" t="s">
        <v>256</v>
      </c>
      <c r="B190" s="3">
        <v>46155</v>
      </c>
      <c r="C190" t="s">
        <v>108</v>
      </c>
      <c r="D190" t="s">
        <v>40</v>
      </c>
      <c r="E190" t="s">
        <v>23</v>
      </c>
      <c r="F190" t="s">
        <v>18</v>
      </c>
      <c r="G190" t="s">
        <v>19</v>
      </c>
      <c r="H190" s="4">
        <v>3713</v>
      </c>
      <c r="I190" s="5">
        <v>155244.26999999999</v>
      </c>
    </row>
    <row r="191" spans="1:9">
      <c r="A191" t="s">
        <v>257</v>
      </c>
      <c r="B191" s="3">
        <v>46139</v>
      </c>
      <c r="C191" t="s">
        <v>78</v>
      </c>
      <c r="D191" t="s">
        <v>40</v>
      </c>
      <c r="E191" t="s">
        <v>23</v>
      </c>
      <c r="F191" t="s">
        <v>45</v>
      </c>
      <c r="G191" t="s">
        <v>46</v>
      </c>
      <c r="H191" s="4">
        <v>1099</v>
      </c>
      <c r="I191" s="5">
        <v>39184.26</v>
      </c>
    </row>
    <row r="192" spans="1:9">
      <c r="A192" t="s">
        <v>68</v>
      </c>
      <c r="B192" s="3">
        <v>45592</v>
      </c>
      <c r="C192" t="s">
        <v>69</v>
      </c>
      <c r="D192" t="s">
        <v>65</v>
      </c>
      <c r="E192" t="s">
        <v>29</v>
      </c>
      <c r="F192" t="s">
        <v>32</v>
      </c>
      <c r="G192" t="s">
        <v>33</v>
      </c>
      <c r="H192" s="4">
        <v>1285</v>
      </c>
      <c r="I192" s="5">
        <v>47390.78</v>
      </c>
    </row>
    <row r="193" spans="1:9">
      <c r="A193" t="s">
        <v>161</v>
      </c>
      <c r="B193" s="3">
        <v>45944</v>
      </c>
      <c r="C193" t="s">
        <v>112</v>
      </c>
      <c r="D193" t="s">
        <v>17</v>
      </c>
      <c r="E193" t="s">
        <v>12</v>
      </c>
      <c r="F193" t="s">
        <v>13</v>
      </c>
      <c r="G193" t="s">
        <v>14</v>
      </c>
      <c r="H193" s="4">
        <v>1373</v>
      </c>
      <c r="I193" s="5">
        <v>106091.96</v>
      </c>
    </row>
    <row r="194" spans="1:9">
      <c r="A194" t="s">
        <v>232</v>
      </c>
      <c r="B194" s="3">
        <v>46100</v>
      </c>
      <c r="C194" t="s">
        <v>99</v>
      </c>
      <c r="D194" t="s">
        <v>59</v>
      </c>
      <c r="E194" t="s">
        <v>60</v>
      </c>
      <c r="F194" t="s">
        <v>18</v>
      </c>
      <c r="G194" t="s">
        <v>19</v>
      </c>
      <c r="H194" s="4">
        <v>2113</v>
      </c>
      <c r="I194" s="5">
        <v>103767.35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E20" sqref="E20"/>
    </sheetView>
  </sheetViews>
  <sheetFormatPr defaultRowHeight="13.8"/>
  <cols>
    <col min="1" max="1" width="22.59765625" bestFit="1" customWidth="1"/>
    <col min="2" max="2" width="18" bestFit="1" customWidth="1"/>
  </cols>
  <sheetData>
    <row r="1" spans="1:2">
      <c r="A1" s="2" t="s">
        <v>2</v>
      </c>
      <c r="B1" s="2" t="s">
        <v>258</v>
      </c>
    </row>
    <row r="2" spans="1:2">
      <c r="A2" t="s">
        <v>78</v>
      </c>
      <c r="B2" t="s">
        <v>259</v>
      </c>
    </row>
    <row r="3" spans="1:2">
      <c r="A3" t="s">
        <v>44</v>
      </c>
      <c r="B3" t="s">
        <v>259</v>
      </c>
    </row>
    <row r="4" spans="1:2">
      <c r="A4" t="s">
        <v>25</v>
      </c>
      <c r="B4" t="s">
        <v>259</v>
      </c>
    </row>
    <row r="5" spans="1:2">
      <c r="A5" t="s">
        <v>89</v>
      </c>
      <c r="B5" t="s">
        <v>260</v>
      </c>
    </row>
    <row r="6" spans="1:2">
      <c r="A6" t="s">
        <v>35</v>
      </c>
      <c r="B6" t="s">
        <v>260</v>
      </c>
    </row>
    <row r="7" spans="1:2">
      <c r="A7" t="s">
        <v>106</v>
      </c>
      <c r="B7" t="s">
        <v>260</v>
      </c>
    </row>
    <row r="8" spans="1:2">
      <c r="A8" t="s">
        <v>112</v>
      </c>
      <c r="B8" t="s">
        <v>261</v>
      </c>
    </row>
    <row r="9" spans="1:2">
      <c r="A9" t="s">
        <v>108</v>
      </c>
      <c r="B9" t="s">
        <v>261</v>
      </c>
    </row>
    <row r="10" spans="1:2">
      <c r="A10" t="s">
        <v>87</v>
      </c>
      <c r="B10" t="s">
        <v>261</v>
      </c>
    </row>
    <row r="11" spans="1:2">
      <c r="A11" t="s">
        <v>10</v>
      </c>
      <c r="B11" t="s">
        <v>262</v>
      </c>
    </row>
    <row r="12" spans="1:2">
      <c r="A12" t="s">
        <v>99</v>
      </c>
      <c r="B12" t="s">
        <v>262</v>
      </c>
    </row>
    <row r="13" spans="1:2">
      <c r="A13" t="s">
        <v>75</v>
      </c>
      <c r="B13" t="s">
        <v>262</v>
      </c>
    </row>
    <row r="14" spans="1:2">
      <c r="A14" t="s">
        <v>27</v>
      </c>
      <c r="B14" t="s">
        <v>263</v>
      </c>
    </row>
    <row r="15" spans="1:2">
      <c r="A15" t="s">
        <v>56</v>
      </c>
      <c r="B15" t="s">
        <v>263</v>
      </c>
    </row>
    <row r="16" spans="1:2">
      <c r="A16" t="s">
        <v>102</v>
      </c>
      <c r="B16" t="s">
        <v>263</v>
      </c>
    </row>
    <row r="17" spans="1:2">
      <c r="A17" t="s">
        <v>149</v>
      </c>
      <c r="B17" t="s">
        <v>264</v>
      </c>
    </row>
    <row r="18" spans="1:2">
      <c r="A18" t="s">
        <v>238</v>
      </c>
      <c r="B18" t="s">
        <v>264</v>
      </c>
    </row>
    <row r="19" spans="1:2">
      <c r="A19" t="s">
        <v>31</v>
      </c>
      <c r="B19" t="s">
        <v>264</v>
      </c>
    </row>
    <row r="20" spans="1:2">
      <c r="A20" t="s">
        <v>21</v>
      </c>
      <c r="B20" t="s">
        <v>265</v>
      </c>
    </row>
    <row r="21" spans="1:2">
      <c r="A21" t="s">
        <v>16</v>
      </c>
      <c r="B21" t="s">
        <v>265</v>
      </c>
    </row>
    <row r="22" spans="1:2">
      <c r="A22" t="s">
        <v>73</v>
      </c>
      <c r="B22" t="s">
        <v>265</v>
      </c>
    </row>
    <row r="23" spans="1:2">
      <c r="A23" t="s">
        <v>97</v>
      </c>
      <c r="B23" t="s">
        <v>266</v>
      </c>
    </row>
    <row r="24" spans="1:2">
      <c r="A24" t="s">
        <v>69</v>
      </c>
      <c r="B24" t="s">
        <v>266</v>
      </c>
    </row>
    <row r="25" spans="1:2">
      <c r="A25" t="s">
        <v>48</v>
      </c>
      <c r="B25" t="s">
        <v>266</v>
      </c>
    </row>
    <row r="26" spans="1:2">
      <c r="A26" t="s">
        <v>63</v>
      </c>
      <c r="B26" t="s">
        <v>267</v>
      </c>
    </row>
    <row r="27" spans="1:2">
      <c r="A27" t="s">
        <v>54</v>
      </c>
      <c r="B27" t="s">
        <v>267</v>
      </c>
    </row>
    <row r="28" spans="1:2">
      <c r="A28" t="s">
        <v>268</v>
      </c>
      <c r="B28" t="s">
        <v>267</v>
      </c>
    </row>
    <row r="29" spans="1:2">
      <c r="A29" t="s">
        <v>204</v>
      </c>
      <c r="B29" t="s">
        <v>269</v>
      </c>
    </row>
    <row r="30" spans="1:2">
      <c r="A30" t="s">
        <v>146</v>
      </c>
      <c r="B30" t="s">
        <v>269</v>
      </c>
    </row>
    <row r="31" spans="1:2">
      <c r="A31" t="s">
        <v>270</v>
      </c>
      <c r="B31" t="s">
        <v>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D6" sqref="D6"/>
    </sheetView>
  </sheetViews>
  <sheetFormatPr defaultRowHeight="13.8"/>
  <cols>
    <col min="1" max="1" width="12.5" bestFit="1" customWidth="1"/>
    <col min="2" max="2" width="13" customWidth="1"/>
  </cols>
  <sheetData>
    <row r="1" spans="1:2" ht="27.6">
      <c r="A1" s="2" t="s">
        <v>4</v>
      </c>
      <c r="B1" s="2" t="s">
        <v>271</v>
      </c>
    </row>
    <row r="2" spans="1:2">
      <c r="A2" t="s">
        <v>50</v>
      </c>
      <c r="B2" t="s">
        <v>272</v>
      </c>
    </row>
    <row r="3" spans="1:2">
      <c r="A3" t="s">
        <v>12</v>
      </c>
      <c r="B3" t="s">
        <v>273</v>
      </c>
    </row>
    <row r="4" spans="1:2">
      <c r="A4" t="s">
        <v>29</v>
      </c>
      <c r="B4" t="s">
        <v>274</v>
      </c>
    </row>
    <row r="5" spans="1:2">
      <c r="A5" t="s">
        <v>60</v>
      </c>
      <c r="B5" t="s">
        <v>275</v>
      </c>
    </row>
    <row r="6" spans="1:2">
      <c r="A6" t="s">
        <v>23</v>
      </c>
      <c r="B6" t="s">
        <v>276</v>
      </c>
    </row>
    <row r="7" spans="1:2">
      <c r="A7" t="s">
        <v>37</v>
      </c>
      <c r="B7" t="s">
        <v>277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Q194"/>
  <sheetViews>
    <sheetView topLeftCell="A2" workbookViewId="0">
      <selection activeCell="J12" sqref="A2:Q194"/>
    </sheetView>
  </sheetViews>
  <sheetFormatPr defaultRowHeight="13.8"/>
  <cols>
    <col min="1" max="1" width="11.59765625" bestFit="1" customWidth="1"/>
    <col min="2" max="2" width="11.3984375" bestFit="1" customWidth="1"/>
    <col min="3" max="3" width="23.09765625" bestFit="1" customWidth="1"/>
    <col min="4" max="4" width="23.69921875" bestFit="1" customWidth="1"/>
    <col min="5" max="5" width="7.5" bestFit="1" customWidth="1"/>
    <col min="6" max="6" width="6.69921875" bestFit="1" customWidth="1"/>
    <col min="7" max="7" width="24.59765625" bestFit="1" customWidth="1"/>
    <col min="8" max="8" width="7.8984375" bestFit="1" customWidth="1"/>
    <col min="9" max="9" width="11.3984375" bestFit="1" customWidth="1"/>
    <col min="10" max="10" width="18.19921875" bestFit="1" customWidth="1"/>
    <col min="11" max="11" width="10.09765625" bestFit="1" customWidth="1"/>
    <col min="12" max="12" width="4.8984375" bestFit="1" customWidth="1"/>
    <col min="13" max="13" width="8.09765625" customWidth="1"/>
    <col min="14" max="14" width="16.09765625" customWidth="1"/>
    <col min="15" max="15" width="16.69921875" style="17" bestFit="1" customWidth="1"/>
    <col min="16" max="16" width="18.19921875" bestFit="1" customWidth="1"/>
  </cols>
  <sheetData>
    <row r="1" spans="1:17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258</v>
      </c>
      <c r="K1" s="2" t="s">
        <v>271</v>
      </c>
      <c r="L1" s="2" t="s">
        <v>278</v>
      </c>
      <c r="M1" s="2" t="s">
        <v>279</v>
      </c>
      <c r="N1" s="2" t="s">
        <v>280</v>
      </c>
      <c r="O1" s="2" t="s">
        <v>281</v>
      </c>
      <c r="P1" t="s">
        <v>299</v>
      </c>
      <c r="Q1" t="s">
        <v>300</v>
      </c>
    </row>
    <row r="2" spans="1:17">
      <c r="A2" t="s">
        <v>9</v>
      </c>
      <c r="B2" s="3">
        <v>45339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4">
        <v>1298</v>
      </c>
      <c r="I2" s="5">
        <v>62179.86</v>
      </c>
      <c r="J2" s="7" t="str">
        <f>IFERROR(VLOOKUP(C2, Master_Importer!$A:$B, 2, FALSE), "Unmapped Importer")</f>
        <v>PT Daya Fabrics</v>
      </c>
      <c r="K2" s="7" t="str">
        <f>VLOOKUP(E2,CountryMapTable[#All],2,FALSE)</f>
        <v>Japan</v>
      </c>
      <c r="L2" s="7">
        <f t="shared" ref="L2:L33" si="0">YEAR(B2)</f>
        <v>2024</v>
      </c>
      <c r="M2" s="7">
        <f t="shared" ref="M2:M33" si="1">MONTH(B2)</f>
        <v>2</v>
      </c>
      <c r="N2" s="12">
        <f>IFERROR(WorkAreaTable[[#This Row],[Import Value (USD)]]/WorkAreaTable[[#This Row],[Quantity (KG)]],0)</f>
        <v>47.904360554699537</v>
      </c>
      <c r="O2" s="16" t="str">
        <f>IF(COUNTIF(A:A, A2)&gt;1, "Duplicate ID", IF(H2=0, "Quantity 0", IF(ISNA(VLOOKUP(C2, Master_Importer!$A:$B, 2, FALSE)), "Unmapped Importer", "OK")))</f>
        <v>OK</v>
      </c>
    </row>
    <row r="3" spans="1:17">
      <c r="A3" t="s">
        <v>15</v>
      </c>
      <c r="B3" s="3">
        <v>45314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 s="4">
        <v>1317</v>
      </c>
      <c r="I3" s="5">
        <v>57625.120000000003</v>
      </c>
      <c r="J3" s="7" t="str">
        <f>IFERROR(VLOOKUP(C3, Master_Importer!$A:$B, 2, FALSE), "Unmapped Importer")</f>
        <v>PT Gemilang Textile</v>
      </c>
      <c r="K3" s="7" t="str">
        <f>VLOOKUP(E3,CountryMapTable[#All],2,FALSE)</f>
        <v>Japan</v>
      </c>
      <c r="L3" s="7">
        <f t="shared" si="0"/>
        <v>2024</v>
      </c>
      <c r="M3" s="7">
        <f t="shared" si="1"/>
        <v>1</v>
      </c>
      <c r="N3" s="12">
        <f>IFERROR(WorkAreaTable[[#This Row],[Import Value (USD)]]/WorkAreaTable[[#This Row],[Quantity (KG)]],0)</f>
        <v>43.754836750189824</v>
      </c>
      <c r="O3" s="16" t="str">
        <f>IF(COUNTIF(A:A, A3)&gt;1, "Duplicate ID", IF(H3=0, "Quantity 0", IF(ISNA(VLOOKUP(C3, Master_Importer!$A:$B, 2, FALSE)), "Unmapped Importer", "OK")))</f>
        <v>OK</v>
      </c>
    </row>
    <row r="4" spans="1:17">
      <c r="A4" t="s">
        <v>20</v>
      </c>
      <c r="B4" s="3">
        <v>45605</v>
      </c>
      <c r="C4" t="s">
        <v>21</v>
      </c>
      <c r="D4" t="s">
        <v>22</v>
      </c>
      <c r="E4" t="s">
        <v>23</v>
      </c>
      <c r="F4" t="s">
        <v>18</v>
      </c>
      <c r="G4" t="s">
        <v>19</v>
      </c>
      <c r="H4" s="4">
        <v>1819</v>
      </c>
      <c r="I4" s="5">
        <v>80071.23</v>
      </c>
      <c r="J4" s="7" t="str">
        <f>IFERROR(VLOOKUP(C4, Master_Importer!$A:$B, 2, FALSE), "Unmapped Importer")</f>
        <v>PT Gemilang Textile</v>
      </c>
      <c r="K4" s="7" t="str">
        <f>VLOOKUP(E4,CountryMapTable[#All],2,FALSE)</f>
        <v>India</v>
      </c>
      <c r="L4" s="7">
        <f t="shared" si="0"/>
        <v>2024</v>
      </c>
      <c r="M4" s="7">
        <f t="shared" si="1"/>
        <v>11</v>
      </c>
      <c r="N4" s="12">
        <f>IFERROR(WorkAreaTable[[#This Row],[Import Value (USD)]]/WorkAreaTable[[#This Row],[Quantity (KG)]],0)</f>
        <v>44.019367784496971</v>
      </c>
      <c r="O4" s="16" t="str">
        <f>IF(COUNTIF(A:A, A4)&gt;1, "Duplicate ID", IF(H4=0, "Quantity 0", IF(ISNA(VLOOKUP(C4, Master_Importer!$A:$B, 2, FALSE)), "Unmapped Importer", "OK")))</f>
        <v>OK</v>
      </c>
      <c r="P4" s="20" t="s">
        <v>259</v>
      </c>
      <c r="Q4" s="20" t="s">
        <v>59</v>
      </c>
    </row>
    <row r="5" spans="1:17">
      <c r="A5" t="s">
        <v>24</v>
      </c>
      <c r="B5" s="3">
        <v>45292</v>
      </c>
      <c r="C5" t="s">
        <v>25</v>
      </c>
      <c r="D5" t="s">
        <v>11</v>
      </c>
      <c r="E5" t="s">
        <v>12</v>
      </c>
      <c r="F5" t="s">
        <v>18</v>
      </c>
      <c r="G5" t="s">
        <v>19</v>
      </c>
      <c r="H5" s="4">
        <v>826</v>
      </c>
      <c r="I5" s="5">
        <v>47488.45</v>
      </c>
      <c r="J5" s="7" t="str">
        <f>IFERROR(VLOOKUP(C5, Master_Importer!$A:$B, 2, FALSE), "Unmapped Importer")</f>
        <v>PT Aruna Textile</v>
      </c>
      <c r="K5" s="7" t="str">
        <f>VLOOKUP(E5,CountryMapTable[#All],2,FALSE)</f>
        <v>Japan</v>
      </c>
      <c r="L5" s="7">
        <f t="shared" si="0"/>
        <v>2024</v>
      </c>
      <c r="M5" s="7">
        <f t="shared" si="1"/>
        <v>1</v>
      </c>
      <c r="N5" s="12">
        <f>IFERROR(WorkAreaTable[[#This Row],[Import Value (USD)]]/WorkAreaTable[[#This Row],[Quantity (KG)]],0)</f>
        <v>57.492070217917671</v>
      </c>
      <c r="O5" s="16" t="str">
        <f>IF(COUNTIF(A:A, A5)&gt;1, "Duplicate ID", IF(H5=0, "Quantity 0", IF(ISNA(VLOOKUP(C5, Master_Importer!$A:$B, 2, FALSE)), "Unmapped Importer", "OK")))</f>
        <v>OK</v>
      </c>
      <c r="P5" s="20" t="s">
        <v>260</v>
      </c>
      <c r="Q5" s="20" t="s">
        <v>49</v>
      </c>
    </row>
    <row r="6" spans="1:17">
      <c r="A6" t="s">
        <v>26</v>
      </c>
      <c r="B6" s="3">
        <v>45430</v>
      </c>
      <c r="C6" t="s">
        <v>27</v>
      </c>
      <c r="D6" t="s">
        <v>28</v>
      </c>
      <c r="E6" t="s">
        <v>29</v>
      </c>
      <c r="F6" t="s">
        <v>13</v>
      </c>
      <c r="G6" t="s">
        <v>14</v>
      </c>
      <c r="H6" s="4">
        <v>597</v>
      </c>
      <c r="I6" s="5">
        <v>40039.919999999998</v>
      </c>
      <c r="J6" s="7" t="str">
        <f>IFERROR(VLOOKUP(C6, Master_Importer!$A:$B, 2, FALSE), "Unmapped Importer")</f>
        <v>PT Eka Textile</v>
      </c>
      <c r="K6" s="7" t="str">
        <f>VLOOKUP(E6,CountryMapTable[#All],2,FALSE)</f>
        <v>Germany</v>
      </c>
      <c r="L6" s="7">
        <f t="shared" si="0"/>
        <v>2024</v>
      </c>
      <c r="M6" s="7">
        <f t="shared" si="1"/>
        <v>5</v>
      </c>
      <c r="N6" s="12">
        <f>IFERROR(WorkAreaTable[[#This Row],[Import Value (USD)]]/WorkAreaTable[[#This Row],[Quantity (KG)]],0)</f>
        <v>67.068542713567837</v>
      </c>
      <c r="O6" s="16" t="str">
        <f>IF(COUNTIF(A:A, A6)&gt;1, "Duplicate ID", IF(H6=0, "Quantity 0", IF(ISNA(VLOOKUP(C6, Master_Importer!$A:$B, 2, FALSE)), "Unmapped Importer", "OK")))</f>
        <v>OK</v>
      </c>
      <c r="P6" s="20" t="s">
        <v>261</v>
      </c>
      <c r="Q6" s="20" t="s">
        <v>11</v>
      </c>
    </row>
    <row r="7" spans="1:17">
      <c r="A7" t="s">
        <v>30</v>
      </c>
      <c r="B7" s="3">
        <v>45412</v>
      </c>
      <c r="C7" t="s">
        <v>31</v>
      </c>
      <c r="D7" t="s">
        <v>17</v>
      </c>
      <c r="E7" t="s">
        <v>12</v>
      </c>
      <c r="F7" t="s">
        <v>32</v>
      </c>
      <c r="G7" t="s">
        <v>33</v>
      </c>
      <c r="H7" s="4">
        <v>1857</v>
      </c>
      <c r="I7" s="5">
        <v>92132.34</v>
      </c>
      <c r="J7" s="7" t="str">
        <f>IFERROR(VLOOKUP(C7, Master_Importer!$A:$B, 2, FALSE), "Unmapped Importer")</f>
        <v>PT Fajar Knitting</v>
      </c>
      <c r="K7" s="7" t="str">
        <f>VLOOKUP(E7,CountryMapTable[#All],2,FALSE)</f>
        <v>Japan</v>
      </c>
      <c r="L7" s="7">
        <f t="shared" si="0"/>
        <v>2024</v>
      </c>
      <c r="M7" s="7">
        <f t="shared" si="1"/>
        <v>4</v>
      </c>
      <c r="N7" s="12">
        <f>IFERROR(WorkAreaTable[[#This Row],[Import Value (USD)]]/WorkAreaTable[[#This Row],[Quantity (KG)]],0)</f>
        <v>49.6135379644588</v>
      </c>
      <c r="O7" s="16" t="str">
        <f>IF(COUNTIF(A:A, A7)&gt;1, "Duplicate ID", IF(H7=0, "Quantity 0", IF(ISNA(VLOOKUP(C7, Master_Importer!$A:$B, 2, FALSE)), "Unmapped Importer", "OK")))</f>
        <v>OK</v>
      </c>
      <c r="P7" s="20" t="s">
        <v>265</v>
      </c>
      <c r="Q7" s="20" t="s">
        <v>17</v>
      </c>
    </row>
    <row r="8" spans="1:17">
      <c r="A8" t="s">
        <v>34</v>
      </c>
      <c r="B8" s="3">
        <v>45578</v>
      </c>
      <c r="C8" t="s">
        <v>35</v>
      </c>
      <c r="D8" t="s">
        <v>36</v>
      </c>
      <c r="E8" t="s">
        <v>37</v>
      </c>
      <c r="F8" t="s">
        <v>32</v>
      </c>
      <c r="G8" t="s">
        <v>33</v>
      </c>
      <c r="H8" s="4">
        <v>580</v>
      </c>
      <c r="I8" s="5">
        <v>27198.97</v>
      </c>
      <c r="J8" s="7" t="str">
        <f>IFERROR(VLOOKUP(C8, Master_Importer!$A:$B, 2, FALSE), "Unmapped Importer")</f>
        <v>PT Bintang Weaving</v>
      </c>
      <c r="K8" s="7" t="str">
        <f>VLOOKUP(E8,CountryMapTable[#All],2,FALSE)</f>
        <v>Türkiye</v>
      </c>
      <c r="L8" s="7">
        <f t="shared" si="0"/>
        <v>2024</v>
      </c>
      <c r="M8" s="7">
        <f t="shared" si="1"/>
        <v>10</v>
      </c>
      <c r="N8" s="12">
        <f>IFERROR(WorkAreaTable[[#This Row],[Import Value (USD)]]/WorkAreaTable[[#This Row],[Quantity (KG)]],0)</f>
        <v>46.894775862068968</v>
      </c>
      <c r="O8" s="16" t="str">
        <f>IF(COUNTIF(A:A, A8)&gt;1, "Duplicate ID", IF(H8=0, "Quantity 0", IF(ISNA(VLOOKUP(C8, Master_Importer!$A:$B, 2, FALSE)), "Unmapped Importer", "OK")))</f>
        <v>OK</v>
      </c>
      <c r="P8" s="20" t="s">
        <v>266</v>
      </c>
      <c r="Q8" s="20" t="s">
        <v>67</v>
      </c>
    </row>
    <row r="9" spans="1:17">
      <c r="A9" t="s">
        <v>38</v>
      </c>
      <c r="B9" s="3">
        <v>45353</v>
      </c>
      <c r="C9" t="s">
        <v>25</v>
      </c>
      <c r="D9" t="s">
        <v>36</v>
      </c>
      <c r="E9" t="s">
        <v>37</v>
      </c>
      <c r="F9" t="s">
        <v>32</v>
      </c>
      <c r="G9" t="s">
        <v>33</v>
      </c>
      <c r="H9" s="4">
        <v>810</v>
      </c>
      <c r="I9" s="5">
        <v>32785.230000000003</v>
      </c>
      <c r="J9" s="7" t="str">
        <f>IFERROR(VLOOKUP(C9, Master_Importer!$A:$B, 2, FALSE), "Unmapped Importer")</f>
        <v>PT Aruna Textile</v>
      </c>
      <c r="K9" s="7" t="str">
        <f>VLOOKUP(E9,CountryMapTable[#All],2,FALSE)</f>
        <v>Türkiye</v>
      </c>
      <c r="L9" s="7">
        <f t="shared" si="0"/>
        <v>2024</v>
      </c>
      <c r="M9" s="7">
        <f t="shared" si="1"/>
        <v>3</v>
      </c>
      <c r="N9" s="12">
        <f>IFERROR(WorkAreaTable[[#This Row],[Import Value (USD)]]/WorkAreaTable[[#This Row],[Quantity (KG)]],0)</f>
        <v>40.475592592592598</v>
      </c>
      <c r="O9" s="16" t="str">
        <f>IF(COUNTIF(A:A, A9)&gt;1, "Duplicate ID", IF(H9=0, "Quantity 0", IF(ISNA(VLOOKUP(C9, Master_Importer!$A:$B, 2, FALSE)), "Unmapped Importer", "OK")))</f>
        <v>OK</v>
      </c>
      <c r="P9" s="20"/>
      <c r="Q9" s="18"/>
    </row>
    <row r="10" spans="1:17">
      <c r="A10" t="s">
        <v>39</v>
      </c>
      <c r="B10" s="3">
        <v>45296</v>
      </c>
      <c r="C10" t="s">
        <v>31</v>
      </c>
      <c r="D10" t="s">
        <v>40</v>
      </c>
      <c r="E10" t="s">
        <v>23</v>
      </c>
      <c r="F10" t="s">
        <v>41</v>
      </c>
      <c r="G10" t="s">
        <v>42</v>
      </c>
      <c r="H10" s="4">
        <v>642</v>
      </c>
      <c r="I10" s="5">
        <v>21876.81</v>
      </c>
      <c r="J10" s="7" t="str">
        <f>IFERROR(VLOOKUP(C10, Master_Importer!$A:$B, 2, FALSE), "Unmapped Importer")</f>
        <v>PT Fajar Knitting</v>
      </c>
      <c r="K10" s="7" t="str">
        <f>VLOOKUP(E10,CountryMapTable[#All],2,FALSE)</f>
        <v>India</v>
      </c>
      <c r="L10" s="7">
        <f t="shared" si="0"/>
        <v>2024</v>
      </c>
      <c r="M10" s="7">
        <f t="shared" si="1"/>
        <v>1</v>
      </c>
      <c r="N10" s="12">
        <f>IFERROR(WorkAreaTable[[#This Row],[Import Value (USD)]]/WorkAreaTable[[#This Row],[Quantity (KG)]],0)</f>
        <v>34.076028037383182</v>
      </c>
      <c r="O10" s="16" t="str">
        <f>IF(COUNTIF(A:A, A10)&gt;1, "Duplicate ID", IF(H10=0, "Quantity 0", IF(ISNA(VLOOKUP(C10, Master_Importer!$A:$B, 2, FALSE)), "Unmapped Importer", "OK")))</f>
        <v>OK</v>
      </c>
    </row>
    <row r="11" spans="1:17">
      <c r="A11" t="s">
        <v>43</v>
      </c>
      <c r="B11" s="3">
        <v>45429</v>
      </c>
      <c r="C11" t="s">
        <v>44</v>
      </c>
      <c r="D11" t="s">
        <v>17</v>
      </c>
      <c r="E11" t="s">
        <v>12</v>
      </c>
      <c r="F11" t="s">
        <v>45</v>
      </c>
      <c r="G11" t="s">
        <v>46</v>
      </c>
      <c r="H11" s="4">
        <v>1587</v>
      </c>
      <c r="I11" s="5">
        <v>54603.61</v>
      </c>
      <c r="J11" s="7" t="str">
        <f>IFERROR(VLOOKUP(C11, Master_Importer!$A:$B, 2, FALSE), "Unmapped Importer")</f>
        <v>PT Aruna Textile</v>
      </c>
      <c r="K11" s="7" t="str">
        <f>VLOOKUP(E11,CountryMapTable[#All],2,FALSE)</f>
        <v>Japan</v>
      </c>
      <c r="L11" s="7">
        <f t="shared" si="0"/>
        <v>2024</v>
      </c>
      <c r="M11" s="7">
        <f t="shared" si="1"/>
        <v>5</v>
      </c>
      <c r="N11" s="12">
        <f>IFERROR(WorkAreaTable[[#This Row],[Import Value (USD)]]/WorkAreaTable[[#This Row],[Quantity (KG)]],0)</f>
        <v>34.4068115942029</v>
      </c>
      <c r="O11" s="16" t="str">
        <f>IF(COUNTIF(A:A, A11)&gt;1, "Duplicate ID", IF(H11=0, "Quantity 0", IF(ISNA(VLOOKUP(C11, Master_Importer!$A:$B, 2, FALSE)), "Unmapped Importer", "OK")))</f>
        <v>OK</v>
      </c>
      <c r="P11" s="18"/>
      <c r="Q11" s="18"/>
    </row>
    <row r="12" spans="1:17">
      <c r="A12" t="s">
        <v>47</v>
      </c>
      <c r="B12" s="3">
        <v>45447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s="4">
        <v>951</v>
      </c>
      <c r="I12" s="5">
        <v>106619.06</v>
      </c>
      <c r="J12" s="7" t="str">
        <f>IFERROR(VLOOKUP(C12, Master_Importer!$A:$B, 2, FALSE), "Unmapped Importer")</f>
        <v>PT Harmoni Spinning</v>
      </c>
      <c r="K12" s="7" t="str">
        <f>VLOOKUP(E12,CountryMapTable[#All],2,FALSE)</f>
        <v>China</v>
      </c>
      <c r="L12" s="7">
        <f t="shared" si="0"/>
        <v>2024</v>
      </c>
      <c r="M12" s="7">
        <f t="shared" si="1"/>
        <v>6</v>
      </c>
      <c r="N12" s="12">
        <f>IFERROR(WorkAreaTable[[#This Row],[Import Value (USD)]]/WorkAreaTable[[#This Row],[Quantity (KG)]],0)</f>
        <v>112.11257623554154</v>
      </c>
      <c r="O12" s="16" t="str">
        <f>IF(COUNTIF(A:A, A12)&gt;1, "Duplicate ID", IF(H12=0, "Quantity 0", IF(ISNA(VLOOKUP(C12, Master_Importer!$A:$B, 2, FALSE)), "Unmapped Importer", "OK")))</f>
        <v>OK</v>
      </c>
      <c r="P12" s="18"/>
      <c r="Q12" s="18"/>
    </row>
    <row r="13" spans="1:17">
      <c r="A13" t="s">
        <v>53</v>
      </c>
      <c r="B13" s="3">
        <v>45293</v>
      </c>
      <c r="C13" t="s">
        <v>54</v>
      </c>
      <c r="D13" t="s">
        <v>17</v>
      </c>
      <c r="E13" t="s">
        <v>12</v>
      </c>
      <c r="F13" t="s">
        <v>13</v>
      </c>
      <c r="G13" t="s">
        <v>14</v>
      </c>
      <c r="H13" s="4">
        <v>1119</v>
      </c>
      <c r="I13" s="5">
        <v>80876.12</v>
      </c>
      <c r="J13" s="7" t="str">
        <f>IFERROR(VLOOKUP(C13, Master_Importer!$A:$B, 2, FALSE), "Unmapped Importer")</f>
        <v>PT Indah Weaving</v>
      </c>
      <c r="K13" s="7" t="str">
        <f>VLOOKUP(E13,CountryMapTable[#All],2,FALSE)</f>
        <v>Japan</v>
      </c>
      <c r="L13" s="7">
        <f t="shared" si="0"/>
        <v>2024</v>
      </c>
      <c r="M13" s="7">
        <f t="shared" si="1"/>
        <v>1</v>
      </c>
      <c r="N13" s="12">
        <f>IFERROR(WorkAreaTable[[#This Row],[Import Value (USD)]]/WorkAreaTable[[#This Row],[Quantity (KG)]],0)</f>
        <v>72.275352993744406</v>
      </c>
      <c r="O13" s="16" t="str">
        <f>IF(COUNTIF(A:A, A13)&gt;1, "Duplicate ID", IF(H13=0, "Quantity 0", IF(ISNA(VLOOKUP(C13, Master_Importer!$A:$B, 2, FALSE)), "Unmapped Importer", "OK")))</f>
        <v>OK</v>
      </c>
      <c r="P13" s="18"/>
      <c r="Q13" s="18"/>
    </row>
    <row r="14" spans="1:17">
      <c r="A14" t="s">
        <v>55</v>
      </c>
      <c r="B14" s="3">
        <v>45493</v>
      </c>
      <c r="C14" t="s">
        <v>56</v>
      </c>
      <c r="D14" t="s">
        <v>57</v>
      </c>
      <c r="E14" t="s">
        <v>37</v>
      </c>
      <c r="F14" t="s">
        <v>45</v>
      </c>
      <c r="G14" t="s">
        <v>46</v>
      </c>
      <c r="H14" s="4">
        <v>613</v>
      </c>
      <c r="I14" s="5">
        <v>14405.31</v>
      </c>
      <c r="J14" s="7" t="str">
        <f>IFERROR(VLOOKUP(C14, Master_Importer!$A:$B, 2, FALSE), "Unmapped Importer")</f>
        <v>PT Eka Textile</v>
      </c>
      <c r="K14" s="7" t="str">
        <f>VLOOKUP(E14,CountryMapTable[#All],2,FALSE)</f>
        <v>Türkiye</v>
      </c>
      <c r="L14" s="7">
        <f t="shared" si="0"/>
        <v>2024</v>
      </c>
      <c r="M14" s="7">
        <f t="shared" si="1"/>
        <v>7</v>
      </c>
      <c r="N14" s="12">
        <f>IFERROR(WorkAreaTable[[#This Row],[Import Value (USD)]]/WorkAreaTable[[#This Row],[Quantity (KG)]],0)</f>
        <v>23.499690048939641</v>
      </c>
      <c r="O14" s="16" t="str">
        <f>IF(COUNTIF(A:A, A14)&gt;1, "Duplicate ID", IF(H14=0, "Quantity 0", IF(ISNA(VLOOKUP(C14, Master_Importer!$A:$B, 2, FALSE)), "Unmapped Importer", "OK")))</f>
        <v>OK</v>
      </c>
      <c r="P14" s="18"/>
      <c r="Q14" s="18"/>
    </row>
    <row r="15" spans="1:17">
      <c r="A15" t="s">
        <v>58</v>
      </c>
      <c r="B15" s="3">
        <v>45445</v>
      </c>
      <c r="C15" t="s">
        <v>35</v>
      </c>
      <c r="D15" t="s">
        <v>59</v>
      </c>
      <c r="E15" t="s">
        <v>60</v>
      </c>
      <c r="F15" t="s">
        <v>51</v>
      </c>
      <c r="G15" t="s">
        <v>52</v>
      </c>
      <c r="H15" s="4">
        <v>1392</v>
      </c>
      <c r="I15" s="5">
        <v>133347.73000000001</v>
      </c>
      <c r="J15" s="7" t="str">
        <f>IFERROR(VLOOKUP(C15, Master_Importer!$A:$B, 2, FALSE), "Unmapped Importer")</f>
        <v>PT Bintang Weaving</v>
      </c>
      <c r="K15" s="7" t="str">
        <f>VLOOKUP(E15,CountryMapTable[#All],2,FALSE)</f>
        <v>Switzerland</v>
      </c>
      <c r="L15" s="7">
        <f t="shared" si="0"/>
        <v>2024</v>
      </c>
      <c r="M15" s="7">
        <f t="shared" si="1"/>
        <v>6</v>
      </c>
      <c r="N15" s="12">
        <f>IFERROR(WorkAreaTable[[#This Row],[Import Value (USD)]]/WorkAreaTable[[#This Row],[Quantity (KG)]],0)</f>
        <v>95.795783045977018</v>
      </c>
      <c r="O15" s="16" t="str">
        <f>IF(COUNTIF(A:A, A15)&gt;1, "Duplicate ID", IF(H15=0, "Quantity 0", IF(ISNA(VLOOKUP(C15, Master_Importer!$A:$B, 2, FALSE)), "Unmapped Importer", "OK")))</f>
        <v>OK</v>
      </c>
      <c r="P15" s="18"/>
      <c r="Q15" s="18"/>
    </row>
    <row r="16" spans="1:17">
      <c r="A16" t="s">
        <v>61</v>
      </c>
      <c r="B16" s="3">
        <v>45404</v>
      </c>
      <c r="C16" t="s">
        <v>48</v>
      </c>
      <c r="D16" t="s">
        <v>49</v>
      </c>
      <c r="E16" t="s">
        <v>50</v>
      </c>
      <c r="F16" t="s">
        <v>18</v>
      </c>
      <c r="G16" t="s">
        <v>19</v>
      </c>
      <c r="H16" s="4">
        <v>1045</v>
      </c>
      <c r="I16" s="5">
        <v>63182.64</v>
      </c>
      <c r="J16" s="7" t="str">
        <f>IFERROR(VLOOKUP(C16, Master_Importer!$A:$B, 2, FALSE), "Unmapped Importer")</f>
        <v>PT Harmoni Spinning</v>
      </c>
      <c r="K16" s="7" t="str">
        <f>VLOOKUP(E16,CountryMapTable[#All],2,FALSE)</f>
        <v>China</v>
      </c>
      <c r="L16" s="7">
        <f t="shared" si="0"/>
        <v>2024</v>
      </c>
      <c r="M16" s="7">
        <f t="shared" si="1"/>
        <v>4</v>
      </c>
      <c r="N16" s="12">
        <f>IFERROR(WorkAreaTable[[#This Row],[Import Value (USD)]]/WorkAreaTable[[#This Row],[Quantity (KG)]],0)</f>
        <v>60.461856459330143</v>
      </c>
      <c r="O16" s="16" t="str">
        <f>IF(COUNTIF(A:A, A16)&gt;1, "Duplicate ID", IF(H16=0, "Quantity 0", IF(ISNA(VLOOKUP(C16, Master_Importer!$A:$B, 2, FALSE)), "Unmapped Importer", "OK")))</f>
        <v>OK</v>
      </c>
      <c r="P16" s="18"/>
      <c r="Q16" s="18"/>
    </row>
    <row r="17" spans="1:17">
      <c r="A17" t="s">
        <v>62</v>
      </c>
      <c r="B17" s="3">
        <v>45573</v>
      </c>
      <c r="C17" t="s">
        <v>63</v>
      </c>
      <c r="D17" t="s">
        <v>49</v>
      </c>
      <c r="E17" t="s">
        <v>50</v>
      </c>
      <c r="F17" t="s">
        <v>41</v>
      </c>
      <c r="G17" t="s">
        <v>42</v>
      </c>
      <c r="H17" s="4">
        <v>1410</v>
      </c>
      <c r="I17" s="5">
        <v>54284.53</v>
      </c>
      <c r="J17" s="7" t="str">
        <f>IFERROR(VLOOKUP(C17, Master_Importer!$A:$B, 2, FALSE), "Unmapped Importer")</f>
        <v>PT Indah Weaving</v>
      </c>
      <c r="K17" s="7" t="str">
        <f>VLOOKUP(E17,CountryMapTable[#All],2,FALSE)</f>
        <v>China</v>
      </c>
      <c r="L17" s="7">
        <f t="shared" si="0"/>
        <v>2024</v>
      </c>
      <c r="M17" s="7">
        <f t="shared" si="1"/>
        <v>10</v>
      </c>
      <c r="N17" s="12">
        <f>IFERROR(WorkAreaTable[[#This Row],[Import Value (USD)]]/WorkAreaTable[[#This Row],[Quantity (KG)]],0)</f>
        <v>38.499666666666663</v>
      </c>
      <c r="O17" s="16" t="str">
        <f>IF(COUNTIF(A:A, A17)&gt;1, "Duplicate ID", IF(H17=0, "Quantity 0", IF(ISNA(VLOOKUP(C17, Master_Importer!$A:$B, 2, FALSE)), "Unmapped Importer", "OK")))</f>
        <v>OK</v>
      </c>
      <c r="P17" s="18"/>
      <c r="Q17" s="18"/>
    </row>
    <row r="18" spans="1:17">
      <c r="A18" t="s">
        <v>64</v>
      </c>
      <c r="B18" s="3">
        <v>45518</v>
      </c>
      <c r="C18" t="s">
        <v>16</v>
      </c>
      <c r="D18" t="s">
        <v>65</v>
      </c>
      <c r="E18" t="s">
        <v>29</v>
      </c>
      <c r="F18" t="s">
        <v>45</v>
      </c>
      <c r="G18" t="s">
        <v>46</v>
      </c>
      <c r="H18" s="4">
        <v>1704</v>
      </c>
      <c r="I18" s="5">
        <v>41278.78</v>
      </c>
      <c r="J18" s="7" t="str">
        <f>IFERROR(VLOOKUP(C18, Master_Importer!$A:$B, 2, FALSE), "Unmapped Importer")</f>
        <v>PT Gemilang Textile</v>
      </c>
      <c r="K18" s="7" t="str">
        <f>VLOOKUP(E18,CountryMapTable[#All],2,FALSE)</f>
        <v>Germany</v>
      </c>
      <c r="L18" s="7">
        <f t="shared" si="0"/>
        <v>2024</v>
      </c>
      <c r="M18" s="7">
        <f t="shared" si="1"/>
        <v>8</v>
      </c>
      <c r="N18" s="12">
        <f>IFERROR(WorkAreaTable[[#This Row],[Import Value (USD)]]/WorkAreaTable[[#This Row],[Quantity (KG)]],0)</f>
        <v>24.22463615023474</v>
      </c>
      <c r="O18" s="16" t="str">
        <f>IF(COUNTIF(A:A, A18)&gt;1, "Duplicate ID", IF(H18=0, "Quantity 0", IF(ISNA(VLOOKUP(C18, Master_Importer!$A:$B, 2, FALSE)), "Unmapped Importer", "OK")))</f>
        <v>OK</v>
      </c>
      <c r="P18" s="18"/>
      <c r="Q18" s="18"/>
    </row>
    <row r="19" spans="1:17">
      <c r="A19" t="s">
        <v>66</v>
      </c>
      <c r="B19" s="3">
        <v>45397</v>
      </c>
      <c r="C19" t="s">
        <v>48</v>
      </c>
      <c r="D19" t="s">
        <v>67</v>
      </c>
      <c r="E19" t="s">
        <v>50</v>
      </c>
      <c r="F19" t="s">
        <v>18</v>
      </c>
      <c r="G19" t="s">
        <v>19</v>
      </c>
      <c r="H19" s="4">
        <v>1776</v>
      </c>
      <c r="I19" s="5">
        <v>84059.35</v>
      </c>
      <c r="J19" s="7" t="str">
        <f>IFERROR(VLOOKUP(C19, Master_Importer!$A:$B, 2, FALSE), "Unmapped Importer")</f>
        <v>PT Harmoni Spinning</v>
      </c>
      <c r="K19" s="7" t="str">
        <f>VLOOKUP(E19,CountryMapTable[#All],2,FALSE)</f>
        <v>China</v>
      </c>
      <c r="L19" s="7">
        <f t="shared" si="0"/>
        <v>2024</v>
      </c>
      <c r="M19" s="7">
        <f t="shared" si="1"/>
        <v>4</v>
      </c>
      <c r="N19" s="12">
        <f>IFERROR(WorkAreaTable[[#This Row],[Import Value (USD)]]/WorkAreaTable[[#This Row],[Quantity (KG)]],0)</f>
        <v>47.330715090090095</v>
      </c>
      <c r="O19" s="16" t="str">
        <f>IF(COUNTIF(A:A, A19)&gt;1, "Duplicate ID", IF(H19=0, "Quantity 0", IF(ISNA(VLOOKUP(C19, Master_Importer!$A:$B, 2, FALSE)), "Unmapped Importer", "OK")))</f>
        <v>OK</v>
      </c>
      <c r="P19" s="18"/>
      <c r="Q19" s="18"/>
    </row>
    <row r="20" spans="1:17">
      <c r="A20" t="s">
        <v>68</v>
      </c>
      <c r="B20" s="3">
        <v>45592</v>
      </c>
      <c r="C20" t="s">
        <v>69</v>
      </c>
      <c r="D20" t="s">
        <v>65</v>
      </c>
      <c r="E20" t="s">
        <v>29</v>
      </c>
      <c r="F20" t="s">
        <v>32</v>
      </c>
      <c r="G20" t="s">
        <v>33</v>
      </c>
      <c r="H20" s="4">
        <v>1285</v>
      </c>
      <c r="I20" s="5">
        <v>47390.78</v>
      </c>
      <c r="J20" s="7" t="str">
        <f>IFERROR(VLOOKUP(C20, Master_Importer!$A:$B, 2, FALSE), "Unmapped Importer")</f>
        <v>PT Harmoni Spinning</v>
      </c>
      <c r="K20" s="7" t="str">
        <f>VLOOKUP(E20,CountryMapTable[#All],2,FALSE)</f>
        <v>Germany</v>
      </c>
      <c r="L20" s="7">
        <f t="shared" si="0"/>
        <v>2024</v>
      </c>
      <c r="M20" s="7">
        <f t="shared" si="1"/>
        <v>10</v>
      </c>
      <c r="N20" s="12">
        <f>IFERROR(WorkAreaTable[[#This Row],[Import Value (USD)]]/WorkAreaTable[[#This Row],[Quantity (KG)]],0)</f>
        <v>36.879984435797667</v>
      </c>
      <c r="O20" s="16" t="str">
        <f>IF(COUNTIF(A:A, A20)&gt;1, "Duplicate ID", IF(H20=0, "Quantity 0", IF(ISNA(VLOOKUP(C20, Master_Importer!$A:$B, 2, FALSE)), "Unmapped Importer", "OK")))</f>
        <v>Duplicate ID</v>
      </c>
      <c r="P20" s="18"/>
      <c r="Q20" s="18"/>
    </row>
    <row r="21" spans="1:17">
      <c r="A21" t="s">
        <v>70</v>
      </c>
      <c r="B21" s="3">
        <v>45603</v>
      </c>
      <c r="C21" t="s">
        <v>56</v>
      </c>
      <c r="D21" t="s">
        <v>17</v>
      </c>
      <c r="E21" t="s">
        <v>12</v>
      </c>
      <c r="F21" t="s">
        <v>41</v>
      </c>
      <c r="G21" t="s">
        <v>42</v>
      </c>
      <c r="H21" s="4">
        <v>608</v>
      </c>
      <c r="I21" s="5">
        <v>19287.080000000002</v>
      </c>
      <c r="J21" s="7" t="str">
        <f>IFERROR(VLOOKUP(C21, Master_Importer!$A:$B, 2, FALSE), "Unmapped Importer")</f>
        <v>PT Eka Textile</v>
      </c>
      <c r="K21" s="7" t="str">
        <f>VLOOKUP(E21,CountryMapTable[#All],2,FALSE)</f>
        <v>Japan</v>
      </c>
      <c r="L21" s="7">
        <f t="shared" si="0"/>
        <v>2024</v>
      </c>
      <c r="M21" s="7">
        <f t="shared" si="1"/>
        <v>11</v>
      </c>
      <c r="N21" s="12">
        <f>IFERROR(WorkAreaTable[[#This Row],[Import Value (USD)]]/WorkAreaTable[[#This Row],[Quantity (KG)]],0)</f>
        <v>31.72217105263158</v>
      </c>
      <c r="O21" s="16" t="str">
        <f>IF(COUNTIF(A:A, A21)&gt;1, "Duplicate ID", IF(H21=0, "Quantity 0", IF(ISNA(VLOOKUP(C21, Master_Importer!$A:$B, 2, FALSE)), "Unmapped Importer", "OK")))</f>
        <v>OK</v>
      </c>
      <c r="P21" s="18"/>
      <c r="Q21" s="18"/>
    </row>
    <row r="22" spans="1:17">
      <c r="A22" t="s">
        <v>71</v>
      </c>
      <c r="B22" s="3">
        <v>45292</v>
      </c>
      <c r="C22" t="s">
        <v>10</v>
      </c>
      <c r="D22" t="s">
        <v>11</v>
      </c>
      <c r="E22" t="s">
        <v>12</v>
      </c>
      <c r="F22" t="s">
        <v>51</v>
      </c>
      <c r="G22" t="s">
        <v>52</v>
      </c>
      <c r="H22" s="4">
        <v>1032</v>
      </c>
      <c r="I22" s="5">
        <v>78583.22</v>
      </c>
      <c r="J22" s="7" t="str">
        <f>IFERROR(VLOOKUP(C22, Master_Importer!$A:$B, 2, FALSE), "Unmapped Importer")</f>
        <v>PT Daya Fabrics</v>
      </c>
      <c r="K22" s="7" t="str">
        <f>VLOOKUP(E22,CountryMapTable[#All],2,FALSE)</f>
        <v>Japan</v>
      </c>
      <c r="L22" s="7">
        <f t="shared" si="0"/>
        <v>2024</v>
      </c>
      <c r="M22" s="7">
        <f t="shared" si="1"/>
        <v>1</v>
      </c>
      <c r="N22" s="12">
        <f>IFERROR(WorkAreaTable[[#This Row],[Import Value (USD)]]/WorkAreaTable[[#This Row],[Quantity (KG)]],0)</f>
        <v>76.146531007751946</v>
      </c>
      <c r="O22" s="16" t="str">
        <f>IF(COUNTIF(A:A, A22)&gt;1, "Duplicate ID", IF(H22=0, "Quantity 0", IF(ISNA(VLOOKUP(C22, Master_Importer!$A:$B, 2, FALSE)), "Unmapped Importer", "OK")))</f>
        <v>OK</v>
      </c>
      <c r="P22" s="18"/>
      <c r="Q22" s="18"/>
    </row>
    <row r="23" spans="1:17">
      <c r="A23" t="s">
        <v>72</v>
      </c>
      <c r="B23" s="3">
        <v>45512</v>
      </c>
      <c r="C23" t="s">
        <v>73</v>
      </c>
      <c r="D23" t="s">
        <v>49</v>
      </c>
      <c r="E23" t="s">
        <v>50</v>
      </c>
      <c r="F23" t="s">
        <v>45</v>
      </c>
      <c r="G23" t="s">
        <v>46</v>
      </c>
      <c r="H23" s="4">
        <v>882</v>
      </c>
      <c r="I23" s="5">
        <v>20888.490000000002</v>
      </c>
      <c r="J23" s="7" t="str">
        <f>IFERROR(VLOOKUP(C23, Master_Importer!$A:$B, 2, FALSE), "Unmapped Importer")</f>
        <v>PT Gemilang Textile</v>
      </c>
      <c r="K23" s="7" t="str">
        <f>VLOOKUP(E23,CountryMapTable[#All],2,FALSE)</f>
        <v>China</v>
      </c>
      <c r="L23" s="7">
        <f t="shared" si="0"/>
        <v>2024</v>
      </c>
      <c r="M23" s="7">
        <f t="shared" si="1"/>
        <v>8</v>
      </c>
      <c r="N23" s="12">
        <f>IFERROR(WorkAreaTable[[#This Row],[Import Value (USD)]]/WorkAreaTable[[#This Row],[Quantity (KG)]],0)</f>
        <v>23.683095238095241</v>
      </c>
      <c r="O23" s="16" t="str">
        <f>IF(COUNTIF(A:A, A23)&gt;1, "Duplicate ID", IF(H23=0, "Quantity 0", IF(ISNA(VLOOKUP(C23, Master_Importer!$A:$B, 2, FALSE)), "Unmapped Importer", "OK")))</f>
        <v>OK</v>
      </c>
      <c r="P23" s="18"/>
      <c r="Q23" s="18"/>
    </row>
    <row r="24" spans="1:17">
      <c r="A24" t="s">
        <v>74</v>
      </c>
      <c r="B24" s="3">
        <v>45421</v>
      </c>
      <c r="C24" t="s">
        <v>75</v>
      </c>
      <c r="D24" t="s">
        <v>59</v>
      </c>
      <c r="E24" t="s">
        <v>60</v>
      </c>
      <c r="F24" t="s">
        <v>51</v>
      </c>
      <c r="G24" t="s">
        <v>52</v>
      </c>
      <c r="H24" s="4">
        <v>1685</v>
      </c>
      <c r="I24" s="5">
        <v>175243.44</v>
      </c>
      <c r="J24" s="7" t="str">
        <f>IFERROR(VLOOKUP(C24, Master_Importer!$A:$B, 2, FALSE), "Unmapped Importer")</f>
        <v>PT Daya Fabrics</v>
      </c>
      <c r="K24" s="7" t="str">
        <f>VLOOKUP(E24,CountryMapTable[#All],2,FALSE)</f>
        <v>Switzerland</v>
      </c>
      <c r="L24" s="7">
        <f t="shared" si="0"/>
        <v>2024</v>
      </c>
      <c r="M24" s="7">
        <f t="shared" si="1"/>
        <v>5</v>
      </c>
      <c r="N24" s="12">
        <f>IFERROR(WorkAreaTable[[#This Row],[Import Value (USD)]]/WorkAreaTable[[#This Row],[Quantity (KG)]],0)</f>
        <v>104.00204154302671</v>
      </c>
      <c r="O24" s="16" t="str">
        <f>IF(COUNTIF(A:A, A24)&gt;1, "Duplicate ID", IF(H24=0, "Quantity 0", IF(ISNA(VLOOKUP(C24, Master_Importer!$A:$B, 2, FALSE)), "Unmapped Importer", "OK")))</f>
        <v>OK</v>
      </c>
      <c r="P24" s="18"/>
      <c r="Q24" s="18"/>
    </row>
    <row r="25" spans="1:17">
      <c r="A25" t="s">
        <v>76</v>
      </c>
      <c r="B25" s="3">
        <v>45578</v>
      </c>
      <c r="C25" t="s">
        <v>44</v>
      </c>
      <c r="D25" t="s">
        <v>36</v>
      </c>
      <c r="E25" t="s">
        <v>37</v>
      </c>
      <c r="F25" t="s">
        <v>51</v>
      </c>
      <c r="G25" t="s">
        <v>52</v>
      </c>
      <c r="H25" s="4">
        <v>1729</v>
      </c>
      <c r="I25" s="5">
        <v>170400.03</v>
      </c>
      <c r="J25" s="7" t="str">
        <f>IFERROR(VLOOKUP(C25, Master_Importer!$A:$B, 2, FALSE), "Unmapped Importer")</f>
        <v>PT Aruna Textile</v>
      </c>
      <c r="K25" s="7" t="str">
        <f>VLOOKUP(E25,CountryMapTable[#All],2,FALSE)</f>
        <v>Türkiye</v>
      </c>
      <c r="L25" s="7">
        <f t="shared" si="0"/>
        <v>2024</v>
      </c>
      <c r="M25" s="7">
        <f t="shared" si="1"/>
        <v>10</v>
      </c>
      <c r="N25" s="12">
        <f>IFERROR(WorkAreaTable[[#This Row],[Import Value (USD)]]/WorkAreaTable[[#This Row],[Quantity (KG)]],0)</f>
        <v>98.554094852515902</v>
      </c>
      <c r="O25" s="16" t="str">
        <f>IF(COUNTIF(A:A, A25)&gt;1, "Duplicate ID", IF(H25=0, "Quantity 0", IF(ISNA(VLOOKUP(C25, Master_Importer!$A:$B, 2, FALSE)), "Unmapped Importer", "OK")))</f>
        <v>OK</v>
      </c>
      <c r="P25" s="18"/>
      <c r="Q25" s="18"/>
    </row>
    <row r="26" spans="1:17">
      <c r="A26" t="s">
        <v>77</v>
      </c>
      <c r="B26" s="3">
        <v>45568</v>
      </c>
      <c r="C26" t="s">
        <v>78</v>
      </c>
      <c r="D26" t="s">
        <v>67</v>
      </c>
      <c r="E26" t="s">
        <v>50</v>
      </c>
      <c r="F26" t="s">
        <v>51</v>
      </c>
      <c r="G26" t="s">
        <v>52</v>
      </c>
      <c r="H26" s="4">
        <v>693</v>
      </c>
      <c r="I26" s="5">
        <v>52569.47</v>
      </c>
      <c r="J26" s="7" t="str">
        <f>IFERROR(VLOOKUP(C26, Master_Importer!$A:$B, 2, FALSE), "Unmapped Importer")</f>
        <v>PT Aruna Textile</v>
      </c>
      <c r="K26" s="7" t="str">
        <f>VLOOKUP(E26,CountryMapTable[#All],2,FALSE)</f>
        <v>China</v>
      </c>
      <c r="L26" s="7">
        <f t="shared" si="0"/>
        <v>2024</v>
      </c>
      <c r="M26" s="7">
        <f t="shared" si="1"/>
        <v>10</v>
      </c>
      <c r="N26" s="12">
        <f>IFERROR(WorkAreaTable[[#This Row],[Import Value (USD)]]/WorkAreaTable[[#This Row],[Quantity (KG)]],0)</f>
        <v>75.857821067821064</v>
      </c>
      <c r="O26" s="16" t="str">
        <f>IF(COUNTIF(A:A, A26)&gt;1, "Duplicate ID", IF(H26=0, "Quantity 0", IF(ISNA(VLOOKUP(C26, Master_Importer!$A:$B, 2, FALSE)), "Unmapped Importer", "OK")))</f>
        <v>OK</v>
      </c>
      <c r="P26" s="18"/>
      <c r="Q26" s="18"/>
    </row>
    <row r="27" spans="1:17">
      <c r="A27" t="s">
        <v>79</v>
      </c>
      <c r="B27" s="3">
        <v>45632</v>
      </c>
      <c r="C27" t="s">
        <v>48</v>
      </c>
      <c r="D27" t="s">
        <v>59</v>
      </c>
      <c r="E27" t="s">
        <v>60</v>
      </c>
      <c r="F27" t="s">
        <v>18</v>
      </c>
      <c r="G27" t="s">
        <v>19</v>
      </c>
      <c r="H27" s="4">
        <v>0</v>
      </c>
      <c r="I27" s="5">
        <v>61524.26</v>
      </c>
      <c r="J27" s="7" t="str">
        <f>IFERROR(VLOOKUP(C27, Master_Importer!$A:$B, 2, FALSE), "Unmapped Importer")</f>
        <v>PT Harmoni Spinning</v>
      </c>
      <c r="K27" s="7" t="str">
        <f>VLOOKUP(E27,CountryMapTable[#All],2,FALSE)</f>
        <v>Switzerland</v>
      </c>
      <c r="L27" s="7">
        <f t="shared" si="0"/>
        <v>2024</v>
      </c>
      <c r="M27" s="7">
        <f t="shared" si="1"/>
        <v>12</v>
      </c>
      <c r="N27" s="12">
        <f>IFERROR(WorkAreaTable[[#This Row],[Import Value (USD)]]/WorkAreaTable[[#This Row],[Quantity (KG)]],0)</f>
        <v>0</v>
      </c>
      <c r="O27" s="16" t="str">
        <f>IF(COUNTIF(A:A, A27)&gt;1, "Duplicate ID", IF(H27=0, "Quantity 0", IF(ISNA(VLOOKUP(C27, Master_Importer!$A:$B, 2, FALSE)), "Unmapped Importer", "OK")))</f>
        <v>Quantity 0</v>
      </c>
      <c r="P27" s="18"/>
      <c r="Q27" s="18"/>
    </row>
    <row r="28" spans="1:17">
      <c r="A28" t="s">
        <v>80</v>
      </c>
      <c r="B28" s="3">
        <v>45595</v>
      </c>
      <c r="C28" t="s">
        <v>16</v>
      </c>
      <c r="D28" t="s">
        <v>57</v>
      </c>
      <c r="E28" t="s">
        <v>37</v>
      </c>
      <c r="F28" t="s">
        <v>51</v>
      </c>
      <c r="G28" t="s">
        <v>52</v>
      </c>
      <c r="H28" s="4">
        <v>1790</v>
      </c>
      <c r="I28" s="5">
        <v>146816.98000000001</v>
      </c>
      <c r="J28" s="7" t="str">
        <f>IFERROR(VLOOKUP(C28, Master_Importer!$A:$B, 2, FALSE), "Unmapped Importer")</f>
        <v>PT Gemilang Textile</v>
      </c>
      <c r="K28" s="7" t="str">
        <f>VLOOKUP(E28,CountryMapTable[#All],2,FALSE)</f>
        <v>Türkiye</v>
      </c>
      <c r="L28" s="7">
        <f t="shared" si="0"/>
        <v>2024</v>
      </c>
      <c r="M28" s="7">
        <f t="shared" si="1"/>
        <v>10</v>
      </c>
      <c r="N28" s="12">
        <f>IFERROR(WorkAreaTable[[#This Row],[Import Value (USD)]]/WorkAreaTable[[#This Row],[Quantity (KG)]],0)</f>
        <v>82.020659217877096</v>
      </c>
      <c r="O28" s="16" t="str">
        <f>IF(COUNTIF(A:A, A28)&gt;1, "Duplicate ID", IF(H28=0, "Quantity 0", IF(ISNA(VLOOKUP(C28, Master_Importer!$A:$B, 2, FALSE)), "Unmapped Importer", "OK")))</f>
        <v>OK</v>
      </c>
      <c r="P28" s="18"/>
      <c r="Q28" s="18"/>
    </row>
    <row r="29" spans="1:17">
      <c r="A29" t="s">
        <v>81</v>
      </c>
      <c r="B29" s="3">
        <v>45414</v>
      </c>
      <c r="C29" t="s">
        <v>78</v>
      </c>
      <c r="D29" t="s">
        <v>67</v>
      </c>
      <c r="E29" t="s">
        <v>50</v>
      </c>
      <c r="F29" t="s">
        <v>51</v>
      </c>
      <c r="G29" t="s">
        <v>52</v>
      </c>
      <c r="H29" s="4">
        <v>1404</v>
      </c>
      <c r="I29" s="5">
        <v>139168.12</v>
      </c>
      <c r="J29" s="7" t="str">
        <f>IFERROR(VLOOKUP(C29, Master_Importer!$A:$B, 2, FALSE), "Unmapped Importer")</f>
        <v>PT Aruna Textile</v>
      </c>
      <c r="K29" s="7" t="str">
        <f>VLOOKUP(E29,CountryMapTable[#All],2,FALSE)</f>
        <v>China</v>
      </c>
      <c r="L29" s="7">
        <f t="shared" si="0"/>
        <v>2024</v>
      </c>
      <c r="M29" s="7">
        <f t="shared" si="1"/>
        <v>5</v>
      </c>
      <c r="N29" s="12">
        <f>IFERROR(WorkAreaTable[[#This Row],[Import Value (USD)]]/WorkAreaTable[[#This Row],[Quantity (KG)]],0)</f>
        <v>99.122592592592596</v>
      </c>
      <c r="O29" s="16" t="str">
        <f>IF(COUNTIF(A:A, A29)&gt;1, "Duplicate ID", IF(H29=0, "Quantity 0", IF(ISNA(VLOOKUP(C29, Master_Importer!$A:$B, 2, FALSE)), "Unmapped Importer", "OK")))</f>
        <v>OK</v>
      </c>
      <c r="P29" s="18"/>
      <c r="Q29" s="18"/>
    </row>
    <row r="30" spans="1:17">
      <c r="A30" t="s">
        <v>82</v>
      </c>
      <c r="B30" s="3">
        <v>45593</v>
      </c>
      <c r="C30" t="s">
        <v>75</v>
      </c>
      <c r="D30" t="s">
        <v>57</v>
      </c>
      <c r="E30" t="s">
        <v>37</v>
      </c>
      <c r="F30" t="s">
        <v>41</v>
      </c>
      <c r="G30" t="s">
        <v>42</v>
      </c>
      <c r="H30" s="4">
        <v>1341</v>
      </c>
      <c r="I30" s="5">
        <v>38351.550000000003</v>
      </c>
      <c r="J30" s="7" t="str">
        <f>IFERROR(VLOOKUP(C30, Master_Importer!$A:$B, 2, FALSE), "Unmapped Importer")</f>
        <v>PT Daya Fabrics</v>
      </c>
      <c r="K30" s="7" t="str">
        <f>VLOOKUP(E30,CountryMapTable[#All],2,FALSE)</f>
        <v>Türkiye</v>
      </c>
      <c r="L30" s="7">
        <f t="shared" si="0"/>
        <v>2024</v>
      </c>
      <c r="M30" s="7">
        <f t="shared" si="1"/>
        <v>10</v>
      </c>
      <c r="N30" s="12">
        <f>IFERROR(WorkAreaTable[[#This Row],[Import Value (USD)]]/WorkAreaTable[[#This Row],[Quantity (KG)]],0)</f>
        <v>28.59921700223714</v>
      </c>
      <c r="O30" s="16" t="str">
        <f>IF(COUNTIF(A:A, A30)&gt;1, "Duplicate ID", IF(H30=0, "Quantity 0", IF(ISNA(VLOOKUP(C30, Master_Importer!$A:$B, 2, FALSE)), "Unmapped Importer", "OK")))</f>
        <v>OK</v>
      </c>
      <c r="P30" s="18"/>
      <c r="Q30" s="18"/>
    </row>
    <row r="31" spans="1:17">
      <c r="A31" t="s">
        <v>83</v>
      </c>
      <c r="B31" s="3">
        <v>45500</v>
      </c>
      <c r="C31" t="s">
        <v>56</v>
      </c>
      <c r="D31" t="s">
        <v>28</v>
      </c>
      <c r="E31" t="s">
        <v>29</v>
      </c>
      <c r="F31" t="s">
        <v>13</v>
      </c>
      <c r="G31" t="s">
        <v>14</v>
      </c>
      <c r="H31" s="4">
        <v>1825</v>
      </c>
      <c r="I31" s="5">
        <v>99026.77</v>
      </c>
      <c r="J31" s="7" t="str">
        <f>IFERROR(VLOOKUP(C31, Master_Importer!$A:$B, 2, FALSE), "Unmapped Importer")</f>
        <v>PT Eka Textile</v>
      </c>
      <c r="K31" s="7" t="str">
        <f>VLOOKUP(E31,CountryMapTable[#All],2,FALSE)</f>
        <v>Germany</v>
      </c>
      <c r="L31" s="7">
        <f t="shared" si="0"/>
        <v>2024</v>
      </c>
      <c r="M31" s="7">
        <f t="shared" si="1"/>
        <v>7</v>
      </c>
      <c r="N31" s="12">
        <f>IFERROR(WorkAreaTable[[#This Row],[Import Value (USD)]]/WorkAreaTable[[#This Row],[Quantity (KG)]],0)</f>
        <v>54.26124383561644</v>
      </c>
      <c r="O31" s="16" t="str">
        <f>IF(COUNTIF(A:A, A31)&gt;1, "Duplicate ID", IF(H31=0, "Quantity 0", IF(ISNA(VLOOKUP(C31, Master_Importer!$A:$B, 2, FALSE)), "Unmapped Importer", "OK")))</f>
        <v>OK</v>
      </c>
      <c r="P31" s="18"/>
      <c r="Q31" s="18"/>
    </row>
    <row r="32" spans="1:17">
      <c r="A32" t="s">
        <v>84</v>
      </c>
      <c r="B32" s="3">
        <v>45367</v>
      </c>
      <c r="C32" t="s">
        <v>75</v>
      </c>
      <c r="D32" t="s">
        <v>28</v>
      </c>
      <c r="E32" t="s">
        <v>29</v>
      </c>
      <c r="F32" t="s">
        <v>18</v>
      </c>
      <c r="G32" t="s">
        <v>19</v>
      </c>
      <c r="H32" s="4">
        <v>1399</v>
      </c>
      <c r="I32" s="5">
        <v>81066.13</v>
      </c>
      <c r="J32" s="7" t="str">
        <f>IFERROR(VLOOKUP(C32, Master_Importer!$A:$B, 2, FALSE), "Unmapped Importer")</f>
        <v>PT Daya Fabrics</v>
      </c>
      <c r="K32" s="7" t="str">
        <f>VLOOKUP(E32,CountryMapTable[#All],2,FALSE)</f>
        <v>Germany</v>
      </c>
      <c r="L32" s="7">
        <f t="shared" si="0"/>
        <v>2024</v>
      </c>
      <c r="M32" s="7">
        <f t="shared" si="1"/>
        <v>3</v>
      </c>
      <c r="N32" s="12">
        <f>IFERROR(WorkAreaTable[[#This Row],[Import Value (USD)]]/WorkAreaTable[[#This Row],[Quantity (KG)]],0)</f>
        <v>57.945768406004291</v>
      </c>
      <c r="O32" s="16" t="str">
        <f>IF(COUNTIF(A:A, A32)&gt;1, "Duplicate ID", IF(H32=0, "Quantity 0", IF(ISNA(VLOOKUP(C32, Master_Importer!$A:$B, 2, FALSE)), "Unmapped Importer", "OK")))</f>
        <v>OK</v>
      </c>
      <c r="P32" s="18"/>
      <c r="Q32" s="18"/>
    </row>
    <row r="33" spans="1:17">
      <c r="A33" t="s">
        <v>85</v>
      </c>
      <c r="B33" s="3">
        <v>45648</v>
      </c>
      <c r="C33" t="s">
        <v>35</v>
      </c>
      <c r="D33" t="s">
        <v>17</v>
      </c>
      <c r="E33" t="s">
        <v>12</v>
      </c>
      <c r="F33" t="s">
        <v>51</v>
      </c>
      <c r="G33" t="s">
        <v>52</v>
      </c>
      <c r="H33" s="4">
        <v>1153</v>
      </c>
      <c r="I33" s="5">
        <v>128714.2</v>
      </c>
      <c r="J33" s="7" t="str">
        <f>IFERROR(VLOOKUP(C33, Master_Importer!$A:$B, 2, FALSE), "Unmapped Importer")</f>
        <v>PT Bintang Weaving</v>
      </c>
      <c r="K33" s="7" t="str">
        <f>VLOOKUP(E33,CountryMapTable[#All],2,FALSE)</f>
        <v>Japan</v>
      </c>
      <c r="L33" s="7">
        <f t="shared" si="0"/>
        <v>2024</v>
      </c>
      <c r="M33" s="7">
        <f t="shared" si="1"/>
        <v>12</v>
      </c>
      <c r="N33" s="12">
        <f>IFERROR(WorkAreaTable[[#This Row],[Import Value (USD)]]/WorkAreaTable[[#This Row],[Quantity (KG)]],0)</f>
        <v>111.63417172593235</v>
      </c>
      <c r="O33" s="16" t="str">
        <f>IF(COUNTIF(A:A, A33)&gt;1, "Duplicate ID", IF(H33=0, "Quantity 0", IF(ISNA(VLOOKUP(C33, Master_Importer!$A:$B, 2, FALSE)), "Unmapped Importer", "OK")))</f>
        <v>OK</v>
      </c>
      <c r="P33" s="18"/>
      <c r="Q33" s="18"/>
    </row>
    <row r="34" spans="1:17">
      <c r="A34" t="s">
        <v>86</v>
      </c>
      <c r="B34" s="3">
        <v>45403</v>
      </c>
      <c r="C34" t="s">
        <v>87</v>
      </c>
      <c r="D34" t="s">
        <v>49</v>
      </c>
      <c r="E34" t="s">
        <v>50</v>
      </c>
      <c r="F34" t="s">
        <v>41</v>
      </c>
      <c r="G34" t="s">
        <v>42</v>
      </c>
      <c r="H34" s="4">
        <v>906</v>
      </c>
      <c r="I34" s="5">
        <v>27536.58</v>
      </c>
      <c r="J34" s="7" t="str">
        <f>IFERROR(VLOOKUP(C34, Master_Importer!$A:$B, 2, FALSE), "Unmapped Importer")</f>
        <v>PT Citra Spinning</v>
      </c>
      <c r="K34" s="7" t="str">
        <f>VLOOKUP(E34,CountryMapTable[#All],2,FALSE)</f>
        <v>China</v>
      </c>
      <c r="L34" s="7">
        <f t="shared" ref="L34:L65" si="2">YEAR(B34)</f>
        <v>2024</v>
      </c>
      <c r="M34" s="7">
        <f t="shared" ref="M34:M65" si="3">MONTH(B34)</f>
        <v>4</v>
      </c>
      <c r="N34" s="12">
        <f>IFERROR(WorkAreaTable[[#This Row],[Import Value (USD)]]/WorkAreaTable[[#This Row],[Quantity (KG)]],0)</f>
        <v>30.393576158940398</v>
      </c>
      <c r="O34" s="16" t="str">
        <f>IF(COUNTIF(A:A, A34)&gt;1, "Duplicate ID", IF(H34=0, "Quantity 0", IF(ISNA(VLOOKUP(C34, Master_Importer!$A:$B, 2, FALSE)), "Unmapped Importer", "OK")))</f>
        <v>OK</v>
      </c>
      <c r="P34" s="18"/>
      <c r="Q34" s="18"/>
    </row>
    <row r="35" spans="1:17">
      <c r="A35" t="s">
        <v>88</v>
      </c>
      <c r="B35" s="3">
        <v>45298</v>
      </c>
      <c r="C35" t="s">
        <v>89</v>
      </c>
      <c r="D35" t="s">
        <v>49</v>
      </c>
      <c r="E35" t="s">
        <v>50</v>
      </c>
      <c r="F35" t="s">
        <v>13</v>
      </c>
      <c r="G35" t="s">
        <v>14</v>
      </c>
      <c r="H35" s="4">
        <v>1531</v>
      </c>
      <c r="I35" s="5">
        <v>81354.66</v>
      </c>
      <c r="J35" s="7" t="str">
        <f>IFERROR(VLOOKUP(C35, Master_Importer!$A:$B, 2, FALSE), "Unmapped Importer")</f>
        <v>PT Bintang Weaving</v>
      </c>
      <c r="K35" s="7" t="str">
        <f>VLOOKUP(E35,CountryMapTable[#All],2,FALSE)</f>
        <v>China</v>
      </c>
      <c r="L35" s="7">
        <f t="shared" si="2"/>
        <v>2024</v>
      </c>
      <c r="M35" s="7">
        <f t="shared" si="3"/>
        <v>1</v>
      </c>
      <c r="N35" s="12">
        <f>IFERROR(WorkAreaTable[[#This Row],[Import Value (USD)]]/WorkAreaTable[[#This Row],[Quantity (KG)]],0)</f>
        <v>53.138249510124105</v>
      </c>
      <c r="O35" s="16" t="str">
        <f>IF(COUNTIF(A:A, A35)&gt;1, "Duplicate ID", IF(H35=0, "Quantity 0", IF(ISNA(VLOOKUP(C35, Master_Importer!$A:$B, 2, FALSE)), "Unmapped Importer", "OK")))</f>
        <v>OK</v>
      </c>
      <c r="P35" s="18"/>
      <c r="Q35" s="18"/>
    </row>
    <row r="36" spans="1:17">
      <c r="A36" t="s">
        <v>90</v>
      </c>
      <c r="B36" s="3">
        <v>45585</v>
      </c>
      <c r="C36" t="s">
        <v>25</v>
      </c>
      <c r="D36" t="s">
        <v>91</v>
      </c>
      <c r="E36" t="s">
        <v>60</v>
      </c>
      <c r="F36" t="s">
        <v>13</v>
      </c>
      <c r="G36" t="s">
        <v>14</v>
      </c>
      <c r="H36" s="4">
        <v>2739</v>
      </c>
      <c r="I36" s="5">
        <v>187391.43</v>
      </c>
      <c r="J36" s="7" t="str">
        <f>IFERROR(VLOOKUP(C36, Master_Importer!$A:$B, 2, FALSE), "Unmapped Importer")</f>
        <v>PT Aruna Textile</v>
      </c>
      <c r="K36" s="7" t="str">
        <f>VLOOKUP(E36,CountryMapTable[#All],2,FALSE)</f>
        <v>Switzerland</v>
      </c>
      <c r="L36" s="7">
        <f t="shared" si="2"/>
        <v>2024</v>
      </c>
      <c r="M36" s="7">
        <f t="shared" si="3"/>
        <v>10</v>
      </c>
      <c r="N36" s="12">
        <f>IFERROR(WorkAreaTable[[#This Row],[Import Value (USD)]]/WorkAreaTable[[#This Row],[Quantity (KG)]],0)</f>
        <v>68.4160021905805</v>
      </c>
      <c r="O36" s="16" t="str">
        <f>IF(COUNTIF(A:A, A36)&gt;1, "Duplicate ID", IF(H36=0, "Quantity 0", IF(ISNA(VLOOKUP(C36, Master_Importer!$A:$B, 2, FALSE)), "Unmapped Importer", "OK")))</f>
        <v>OK</v>
      </c>
      <c r="P36" s="18"/>
      <c r="Q36" s="18"/>
    </row>
    <row r="37" spans="1:17">
      <c r="A37" t="s">
        <v>92</v>
      </c>
      <c r="B37" s="3">
        <v>45312</v>
      </c>
      <c r="C37" t="s">
        <v>16</v>
      </c>
      <c r="D37" t="s">
        <v>91</v>
      </c>
      <c r="E37" t="s">
        <v>60</v>
      </c>
      <c r="F37" t="s">
        <v>41</v>
      </c>
      <c r="G37" t="s">
        <v>42</v>
      </c>
      <c r="H37" s="4">
        <v>883</v>
      </c>
      <c r="I37" s="5">
        <v>23685.37</v>
      </c>
      <c r="J37" s="7" t="str">
        <f>IFERROR(VLOOKUP(C37, Master_Importer!$A:$B, 2, FALSE), "Unmapped Importer")</f>
        <v>PT Gemilang Textile</v>
      </c>
      <c r="K37" s="7" t="str">
        <f>VLOOKUP(E37,CountryMapTable[#All],2,FALSE)</f>
        <v>Switzerland</v>
      </c>
      <c r="L37" s="7">
        <f t="shared" si="2"/>
        <v>2024</v>
      </c>
      <c r="M37" s="7">
        <f t="shared" si="3"/>
        <v>1</v>
      </c>
      <c r="N37" s="12">
        <f>IFERROR(WorkAreaTable[[#This Row],[Import Value (USD)]]/WorkAreaTable[[#This Row],[Quantity (KG)]],0)</f>
        <v>26.823748584371458</v>
      </c>
      <c r="O37" s="16" t="str">
        <f>IF(COUNTIF(A:A, A37)&gt;1, "Duplicate ID", IF(H37=0, "Quantity 0", IF(ISNA(VLOOKUP(C37, Master_Importer!$A:$B, 2, FALSE)), "Unmapped Importer", "OK")))</f>
        <v>OK</v>
      </c>
      <c r="P37" s="18"/>
      <c r="Q37" s="18"/>
    </row>
    <row r="38" spans="1:17">
      <c r="A38" t="s">
        <v>93</v>
      </c>
      <c r="B38" s="3">
        <v>45332</v>
      </c>
      <c r="C38" t="s">
        <v>31</v>
      </c>
      <c r="D38" t="s">
        <v>17</v>
      </c>
      <c r="E38" t="s">
        <v>12</v>
      </c>
      <c r="F38" t="s">
        <v>45</v>
      </c>
      <c r="G38" t="s">
        <v>46</v>
      </c>
      <c r="H38" s="4">
        <v>2553</v>
      </c>
      <c r="I38" s="5">
        <v>79065.990000000005</v>
      </c>
      <c r="J38" s="7" t="str">
        <f>IFERROR(VLOOKUP(C38, Master_Importer!$A:$B, 2, FALSE), "Unmapped Importer")</f>
        <v>PT Fajar Knitting</v>
      </c>
      <c r="K38" s="7" t="str">
        <f>VLOOKUP(E38,CountryMapTable[#All],2,FALSE)</f>
        <v>Japan</v>
      </c>
      <c r="L38" s="7">
        <f t="shared" si="2"/>
        <v>2024</v>
      </c>
      <c r="M38" s="7">
        <f t="shared" si="3"/>
        <v>2</v>
      </c>
      <c r="N38" s="12">
        <f>IFERROR(WorkAreaTable[[#This Row],[Import Value (USD)]]/WorkAreaTable[[#This Row],[Quantity (KG)]],0)</f>
        <v>30.969835487661577</v>
      </c>
      <c r="O38" s="16" t="str">
        <f>IF(COUNTIF(A:A, A38)&gt;1, "Duplicate ID", IF(H38=0, "Quantity 0", IF(ISNA(VLOOKUP(C38, Master_Importer!$A:$B, 2, FALSE)), "Unmapped Importer", "OK")))</f>
        <v>OK</v>
      </c>
      <c r="P38" s="18"/>
      <c r="Q38" s="18"/>
    </row>
    <row r="39" spans="1:17">
      <c r="A39" t="s">
        <v>94</v>
      </c>
      <c r="B39" s="3">
        <v>45397</v>
      </c>
      <c r="C39" t="s">
        <v>78</v>
      </c>
      <c r="D39" t="s">
        <v>49</v>
      </c>
      <c r="E39" t="s">
        <v>50</v>
      </c>
      <c r="F39" t="s">
        <v>41</v>
      </c>
      <c r="G39" t="s">
        <v>42</v>
      </c>
      <c r="H39" s="4">
        <v>1814</v>
      </c>
      <c r="I39" s="5">
        <v>47625.99</v>
      </c>
      <c r="J39" s="7" t="str">
        <f>IFERROR(VLOOKUP(C39, Master_Importer!$A:$B, 2, FALSE), "Unmapped Importer")</f>
        <v>PT Aruna Textile</v>
      </c>
      <c r="K39" s="7" t="str">
        <f>VLOOKUP(E39,CountryMapTable[#All],2,FALSE)</f>
        <v>China</v>
      </c>
      <c r="L39" s="7">
        <f t="shared" si="2"/>
        <v>2024</v>
      </c>
      <c r="M39" s="7">
        <f t="shared" si="3"/>
        <v>4</v>
      </c>
      <c r="N39" s="12">
        <f>IFERROR(WorkAreaTable[[#This Row],[Import Value (USD)]]/WorkAreaTable[[#This Row],[Quantity (KG)]],0)</f>
        <v>26.254680264608599</v>
      </c>
      <c r="O39" s="16" t="str">
        <f>IF(COUNTIF(A:A, A39)&gt;1, "Duplicate ID", IF(H39=0, "Quantity 0", IF(ISNA(VLOOKUP(C39, Master_Importer!$A:$B, 2, FALSE)), "Unmapped Importer", "OK")))</f>
        <v>OK</v>
      </c>
      <c r="P39" s="18"/>
      <c r="Q39" s="18"/>
    </row>
    <row r="40" spans="1:17">
      <c r="A40" t="s">
        <v>95</v>
      </c>
      <c r="B40" s="3">
        <v>45586</v>
      </c>
      <c r="C40" t="s">
        <v>44</v>
      </c>
      <c r="D40" t="s">
        <v>49</v>
      </c>
      <c r="E40" t="s">
        <v>50</v>
      </c>
      <c r="F40" t="s">
        <v>45</v>
      </c>
      <c r="G40" t="s">
        <v>46</v>
      </c>
      <c r="H40" s="4">
        <v>699</v>
      </c>
      <c r="I40" s="5">
        <v>21307.22</v>
      </c>
      <c r="J40" s="7" t="str">
        <f>IFERROR(VLOOKUP(C40, Master_Importer!$A:$B, 2, FALSE), "Unmapped Importer")</f>
        <v>PT Aruna Textile</v>
      </c>
      <c r="K40" s="7" t="str">
        <f>VLOOKUP(E40,CountryMapTable[#All],2,FALSE)</f>
        <v>China</v>
      </c>
      <c r="L40" s="7">
        <f t="shared" si="2"/>
        <v>2024</v>
      </c>
      <c r="M40" s="7">
        <f t="shared" si="3"/>
        <v>10</v>
      </c>
      <c r="N40" s="12">
        <f>IFERROR(WorkAreaTable[[#This Row],[Import Value (USD)]]/WorkAreaTable[[#This Row],[Quantity (KG)]],0)</f>
        <v>30.482432045779689</v>
      </c>
      <c r="O40" s="16" t="str">
        <f>IF(COUNTIF(A:A, A40)&gt;1, "Duplicate ID", IF(H40=0, "Quantity 0", IF(ISNA(VLOOKUP(C40, Master_Importer!$A:$B, 2, FALSE)), "Unmapped Importer", "OK")))</f>
        <v>OK</v>
      </c>
      <c r="P40" s="18"/>
      <c r="Q40" s="18"/>
    </row>
    <row r="41" spans="1:17">
      <c r="A41" t="s">
        <v>96</v>
      </c>
      <c r="B41" s="3">
        <v>45534</v>
      </c>
      <c r="C41" t="s">
        <v>97</v>
      </c>
      <c r="D41" t="s">
        <v>67</v>
      </c>
      <c r="E41" t="s">
        <v>50</v>
      </c>
      <c r="F41" t="s">
        <v>18</v>
      </c>
      <c r="G41" t="s">
        <v>19</v>
      </c>
      <c r="H41" s="4">
        <v>1080</v>
      </c>
      <c r="I41" s="5">
        <v>64032.52</v>
      </c>
      <c r="J41" s="7" t="str">
        <f>IFERROR(VLOOKUP(C41, Master_Importer!$A:$B, 2, FALSE), "Unmapped Importer")</f>
        <v>PT Harmoni Spinning</v>
      </c>
      <c r="K41" s="7" t="str">
        <f>VLOOKUP(E41,CountryMapTable[#All],2,FALSE)</f>
        <v>China</v>
      </c>
      <c r="L41" s="7">
        <f t="shared" si="2"/>
        <v>2024</v>
      </c>
      <c r="M41" s="7">
        <f t="shared" si="3"/>
        <v>8</v>
      </c>
      <c r="N41" s="12">
        <f>IFERROR(WorkAreaTable[[#This Row],[Import Value (USD)]]/WorkAreaTable[[#This Row],[Quantity (KG)]],0)</f>
        <v>59.289370370370371</v>
      </c>
      <c r="O41" s="16" t="str">
        <f>IF(COUNTIF(A:A, A41)&gt;1, "Duplicate ID", IF(H41=0, "Quantity 0", IF(ISNA(VLOOKUP(C41, Master_Importer!$A:$B, 2, FALSE)), "Unmapped Importer", "OK")))</f>
        <v>OK</v>
      </c>
      <c r="P41" s="18"/>
      <c r="Q41" s="18"/>
    </row>
    <row r="42" spans="1:17">
      <c r="A42" t="s">
        <v>98</v>
      </c>
      <c r="B42" s="3">
        <v>45323</v>
      </c>
      <c r="C42" t="s">
        <v>99</v>
      </c>
      <c r="D42" t="s">
        <v>91</v>
      </c>
      <c r="E42" t="s">
        <v>60</v>
      </c>
      <c r="F42" t="s">
        <v>51</v>
      </c>
      <c r="G42" t="s">
        <v>52</v>
      </c>
      <c r="H42" s="4">
        <v>994</v>
      </c>
      <c r="I42" s="5">
        <v>70805.070000000007</v>
      </c>
      <c r="J42" s="7" t="str">
        <f>IFERROR(VLOOKUP(C42, Master_Importer!$A:$B, 2, FALSE), "Unmapped Importer")</f>
        <v>PT Daya Fabrics</v>
      </c>
      <c r="K42" s="7" t="str">
        <f>VLOOKUP(E42,CountryMapTable[#All],2,FALSE)</f>
        <v>Switzerland</v>
      </c>
      <c r="L42" s="7">
        <f t="shared" si="2"/>
        <v>2024</v>
      </c>
      <c r="M42" s="7">
        <f t="shared" si="3"/>
        <v>2</v>
      </c>
      <c r="N42" s="12">
        <f>IFERROR(WorkAreaTable[[#This Row],[Import Value (USD)]]/WorkAreaTable[[#This Row],[Quantity (KG)]],0)</f>
        <v>71.232464788732401</v>
      </c>
      <c r="O42" s="16" t="str">
        <f>IF(COUNTIF(A:A, A42)&gt;1, "Duplicate ID", IF(H42=0, "Quantity 0", IF(ISNA(VLOOKUP(C42, Master_Importer!$A:$B, 2, FALSE)), "Unmapped Importer", "OK")))</f>
        <v>OK</v>
      </c>
      <c r="P42" s="18"/>
      <c r="Q42" s="18"/>
    </row>
    <row r="43" spans="1:17">
      <c r="A43" t="s">
        <v>100</v>
      </c>
      <c r="B43" s="3">
        <v>45358</v>
      </c>
      <c r="C43" t="s">
        <v>63</v>
      </c>
      <c r="D43" t="s">
        <v>49</v>
      </c>
      <c r="E43" t="s">
        <v>50</v>
      </c>
      <c r="F43" t="s">
        <v>41</v>
      </c>
      <c r="G43" t="s">
        <v>42</v>
      </c>
      <c r="H43" s="4">
        <v>1943</v>
      </c>
      <c r="I43" s="5">
        <v>50211.16</v>
      </c>
      <c r="J43" s="7" t="str">
        <f>IFERROR(VLOOKUP(C43, Master_Importer!$A:$B, 2, FALSE), "Unmapped Importer")</f>
        <v>PT Indah Weaving</v>
      </c>
      <c r="K43" s="7" t="str">
        <f>VLOOKUP(E43,CountryMapTable[#All],2,FALSE)</f>
        <v>China</v>
      </c>
      <c r="L43" s="7">
        <f t="shared" si="2"/>
        <v>2024</v>
      </c>
      <c r="M43" s="7">
        <f t="shared" si="3"/>
        <v>3</v>
      </c>
      <c r="N43" s="12">
        <f>IFERROR(WorkAreaTable[[#This Row],[Import Value (USD)]]/WorkAreaTable[[#This Row],[Quantity (KG)]],0)</f>
        <v>25.842079258878027</v>
      </c>
      <c r="O43" s="16" t="str">
        <f>IF(COUNTIF(A:A, A43)&gt;1, "Duplicate ID", IF(H43=0, "Quantity 0", IF(ISNA(VLOOKUP(C43, Master_Importer!$A:$B, 2, FALSE)), "Unmapped Importer", "OK")))</f>
        <v>OK</v>
      </c>
      <c r="P43" s="18"/>
      <c r="Q43" s="18"/>
    </row>
    <row r="44" spans="1:17">
      <c r="A44" t="s">
        <v>101</v>
      </c>
      <c r="B44" s="3">
        <v>45651</v>
      </c>
      <c r="C44" t="s">
        <v>102</v>
      </c>
      <c r="D44" t="s">
        <v>22</v>
      </c>
      <c r="E44" t="s">
        <v>23</v>
      </c>
      <c r="F44" t="s">
        <v>13</v>
      </c>
      <c r="G44" t="s">
        <v>14</v>
      </c>
      <c r="H44" s="4">
        <v>3795</v>
      </c>
      <c r="I44" s="5">
        <v>249057</v>
      </c>
      <c r="J44" s="7" t="str">
        <f>IFERROR(VLOOKUP(C44, Master_Importer!$A:$B, 2, FALSE), "Unmapped Importer")</f>
        <v>PT Eka Textile</v>
      </c>
      <c r="K44" s="7" t="str">
        <f>VLOOKUP(E44,CountryMapTable[#All],2,FALSE)</f>
        <v>India</v>
      </c>
      <c r="L44" s="7">
        <f t="shared" si="2"/>
        <v>2024</v>
      </c>
      <c r="M44" s="7">
        <f t="shared" si="3"/>
        <v>12</v>
      </c>
      <c r="N44" s="12">
        <f>IFERROR(WorkAreaTable[[#This Row],[Import Value (USD)]]/WorkAreaTable[[#This Row],[Quantity (KG)]],0)</f>
        <v>65.627667984189728</v>
      </c>
      <c r="O44" s="16" t="str">
        <f>IF(COUNTIF(A:A, A44)&gt;1, "Duplicate ID", IF(H44=0, "Quantity 0", IF(ISNA(VLOOKUP(C44, Master_Importer!$A:$B, 2, FALSE)), "Unmapped Importer", "OK")))</f>
        <v>OK</v>
      </c>
      <c r="P44" s="18"/>
      <c r="Q44" s="18"/>
    </row>
    <row r="45" spans="1:17">
      <c r="A45" t="s">
        <v>103</v>
      </c>
      <c r="B45" s="3">
        <v>45543</v>
      </c>
      <c r="C45" t="s">
        <v>25</v>
      </c>
      <c r="D45" t="s">
        <v>22</v>
      </c>
      <c r="E45" t="s">
        <v>23</v>
      </c>
      <c r="F45" t="s">
        <v>41</v>
      </c>
      <c r="G45" t="s">
        <v>42</v>
      </c>
      <c r="H45" s="4">
        <v>590</v>
      </c>
      <c r="I45" s="5">
        <v>15617.64</v>
      </c>
      <c r="J45" s="7" t="str">
        <f>IFERROR(VLOOKUP(C45, Master_Importer!$A:$B, 2, FALSE), "Unmapped Importer")</f>
        <v>PT Aruna Textile</v>
      </c>
      <c r="K45" s="7" t="str">
        <f>VLOOKUP(E45,CountryMapTable[#All],2,FALSE)</f>
        <v>India</v>
      </c>
      <c r="L45" s="7">
        <f t="shared" si="2"/>
        <v>2024</v>
      </c>
      <c r="M45" s="7">
        <f t="shared" si="3"/>
        <v>9</v>
      </c>
      <c r="N45" s="12">
        <f>IFERROR(WorkAreaTable[[#This Row],[Import Value (USD)]]/WorkAreaTable[[#This Row],[Quantity (KG)]],0)</f>
        <v>26.470576271186438</v>
      </c>
      <c r="O45" s="16" t="str">
        <f>IF(COUNTIF(A:A, A45)&gt;1, "Duplicate ID", IF(H45=0, "Quantity 0", IF(ISNA(VLOOKUP(C45, Master_Importer!$A:$B, 2, FALSE)), "Unmapped Importer", "OK")))</f>
        <v>OK</v>
      </c>
      <c r="P45" s="18"/>
      <c r="Q45" s="18"/>
    </row>
    <row r="46" spans="1:17">
      <c r="A46" t="s">
        <v>104</v>
      </c>
      <c r="B46" s="3">
        <v>45648</v>
      </c>
      <c r="C46" t="s">
        <v>35</v>
      </c>
      <c r="D46" t="s">
        <v>67</v>
      </c>
      <c r="E46" t="s">
        <v>50</v>
      </c>
      <c r="F46" t="s">
        <v>32</v>
      </c>
      <c r="G46" t="s">
        <v>33</v>
      </c>
      <c r="H46" s="4">
        <v>2381</v>
      </c>
      <c r="I46" s="5">
        <v>77637.009999999995</v>
      </c>
      <c r="J46" s="7" t="str">
        <f>IFERROR(VLOOKUP(C46, Master_Importer!$A:$B, 2, FALSE), "Unmapped Importer")</f>
        <v>PT Bintang Weaving</v>
      </c>
      <c r="K46" s="7" t="str">
        <f>VLOOKUP(E46,CountryMapTable[#All],2,FALSE)</f>
        <v>China</v>
      </c>
      <c r="L46" s="7">
        <f t="shared" si="2"/>
        <v>2024</v>
      </c>
      <c r="M46" s="7">
        <f t="shared" si="3"/>
        <v>12</v>
      </c>
      <c r="N46" s="12">
        <f>IFERROR(WorkAreaTable[[#This Row],[Import Value (USD)]]/WorkAreaTable[[#This Row],[Quantity (KG)]],0)</f>
        <v>32.606892062158757</v>
      </c>
      <c r="O46" s="16" t="str">
        <f>IF(COUNTIF(A:A, A46)&gt;1, "Duplicate ID", IF(H46=0, "Quantity 0", IF(ISNA(VLOOKUP(C46, Master_Importer!$A:$B, 2, FALSE)), "Unmapped Importer", "OK")))</f>
        <v>OK</v>
      </c>
      <c r="P46" s="18"/>
      <c r="Q46" s="18"/>
    </row>
    <row r="47" spans="1:17">
      <c r="A47" t="s">
        <v>105</v>
      </c>
      <c r="B47" s="3">
        <v>45516</v>
      </c>
      <c r="C47" t="s">
        <v>106</v>
      </c>
      <c r="D47" t="s">
        <v>40</v>
      </c>
      <c r="E47" t="s">
        <v>23</v>
      </c>
      <c r="F47" t="s">
        <v>18</v>
      </c>
      <c r="G47" t="s">
        <v>19</v>
      </c>
      <c r="H47" s="4">
        <v>2175</v>
      </c>
      <c r="I47" s="5">
        <v>89768</v>
      </c>
      <c r="J47" s="7" t="str">
        <f>IFERROR(VLOOKUP(C47, Master_Importer!$A:$B, 2, FALSE), "Unmapped Importer")</f>
        <v>PT Bintang Weaving</v>
      </c>
      <c r="K47" s="7" t="str">
        <f>VLOOKUP(E47,CountryMapTable[#All],2,FALSE)</f>
        <v>India</v>
      </c>
      <c r="L47" s="7">
        <f t="shared" si="2"/>
        <v>2024</v>
      </c>
      <c r="M47" s="7">
        <f t="shared" si="3"/>
        <v>8</v>
      </c>
      <c r="N47" s="12">
        <f>IFERROR(WorkAreaTable[[#This Row],[Import Value (USD)]]/WorkAreaTable[[#This Row],[Quantity (KG)]],0)</f>
        <v>41.272643678160918</v>
      </c>
      <c r="O47" s="16" t="str">
        <f>IF(COUNTIF(A:A, A47)&gt;1, "Duplicate ID", IF(H47=0, "Quantity 0", IF(ISNA(VLOOKUP(C47, Master_Importer!$A:$B, 2, FALSE)), "Unmapped Importer", "OK")))</f>
        <v>OK</v>
      </c>
      <c r="P47" s="18"/>
      <c r="Q47" s="18"/>
    </row>
    <row r="48" spans="1:17">
      <c r="A48" t="s">
        <v>107</v>
      </c>
      <c r="B48" s="3">
        <v>45295</v>
      </c>
      <c r="C48" t="s">
        <v>108</v>
      </c>
      <c r="D48" t="s">
        <v>59</v>
      </c>
      <c r="E48" t="s">
        <v>60</v>
      </c>
      <c r="F48" t="s">
        <v>13</v>
      </c>
      <c r="G48" t="s">
        <v>14</v>
      </c>
      <c r="H48" s="4">
        <v>1946</v>
      </c>
      <c r="I48" s="5">
        <v>126893.98</v>
      </c>
      <c r="J48" s="7" t="str">
        <f>IFERROR(VLOOKUP(C48, Master_Importer!$A:$B, 2, FALSE), "Unmapped Importer")</f>
        <v>PT Citra Spinning</v>
      </c>
      <c r="K48" s="7" t="str">
        <f>VLOOKUP(E48,CountryMapTable[#All],2,FALSE)</f>
        <v>Switzerland</v>
      </c>
      <c r="L48" s="7">
        <f t="shared" si="2"/>
        <v>2024</v>
      </c>
      <c r="M48" s="7">
        <f t="shared" si="3"/>
        <v>1</v>
      </c>
      <c r="N48" s="12">
        <f>IFERROR(WorkAreaTable[[#This Row],[Import Value (USD)]]/WorkAreaTable[[#This Row],[Quantity (KG)]],0)</f>
        <v>65.207595066803691</v>
      </c>
      <c r="O48" s="16" t="str">
        <f>IF(COUNTIF(A:A, A48)&gt;1, "Duplicate ID", IF(H48=0, "Quantity 0", IF(ISNA(VLOOKUP(C48, Master_Importer!$A:$B, 2, FALSE)), "Unmapped Importer", "OK")))</f>
        <v>OK</v>
      </c>
      <c r="P48" s="18"/>
      <c r="Q48" s="18"/>
    </row>
    <row r="49" spans="1:17">
      <c r="A49" t="s">
        <v>109</v>
      </c>
      <c r="B49" s="3">
        <v>45637</v>
      </c>
      <c r="C49" t="s">
        <v>27</v>
      </c>
      <c r="D49" t="s">
        <v>17</v>
      </c>
      <c r="E49" t="s">
        <v>12</v>
      </c>
      <c r="F49" t="s">
        <v>13</v>
      </c>
      <c r="G49" t="s">
        <v>14</v>
      </c>
      <c r="H49" s="4">
        <v>2921</v>
      </c>
      <c r="I49" s="5">
        <v>199111.86</v>
      </c>
      <c r="J49" s="7" t="str">
        <f>IFERROR(VLOOKUP(C49, Master_Importer!$A:$B, 2, FALSE), "Unmapped Importer")</f>
        <v>PT Eka Textile</v>
      </c>
      <c r="K49" s="7" t="str">
        <f>VLOOKUP(E49,CountryMapTable[#All],2,FALSE)</f>
        <v>Japan</v>
      </c>
      <c r="L49" s="7">
        <f t="shared" si="2"/>
        <v>2024</v>
      </c>
      <c r="M49" s="7">
        <f t="shared" si="3"/>
        <v>12</v>
      </c>
      <c r="N49" s="12">
        <f>IFERROR(WorkAreaTable[[#This Row],[Import Value (USD)]]/WorkAreaTable[[#This Row],[Quantity (KG)]],0)</f>
        <v>68.165648750427934</v>
      </c>
      <c r="O49" s="16" t="str">
        <f>IF(COUNTIF(A:A, A49)&gt;1, "Duplicate ID", IF(H49=0, "Quantity 0", IF(ISNA(VLOOKUP(C49, Master_Importer!$A:$B, 2, FALSE)), "Unmapped Importer", "OK")))</f>
        <v>OK</v>
      </c>
      <c r="P49" s="18"/>
      <c r="Q49" s="18"/>
    </row>
    <row r="50" spans="1:17">
      <c r="A50" t="s">
        <v>110</v>
      </c>
      <c r="B50" s="3">
        <v>45512</v>
      </c>
      <c r="C50" t="s">
        <v>73</v>
      </c>
      <c r="D50" t="s">
        <v>36</v>
      </c>
      <c r="E50" t="s">
        <v>37</v>
      </c>
      <c r="F50" t="s">
        <v>45</v>
      </c>
      <c r="G50" t="s">
        <v>46</v>
      </c>
      <c r="H50" s="4">
        <v>1118</v>
      </c>
      <c r="I50" s="5">
        <v>22382.04</v>
      </c>
      <c r="J50" s="7" t="str">
        <f>IFERROR(VLOOKUP(C50, Master_Importer!$A:$B, 2, FALSE), "Unmapped Importer")</f>
        <v>PT Gemilang Textile</v>
      </c>
      <c r="K50" s="7" t="str">
        <f>VLOOKUP(E50,CountryMapTable[#All],2,FALSE)</f>
        <v>Türkiye</v>
      </c>
      <c r="L50" s="7">
        <f t="shared" si="2"/>
        <v>2024</v>
      </c>
      <c r="M50" s="7">
        <f t="shared" si="3"/>
        <v>8</v>
      </c>
      <c r="N50" s="12">
        <f>IFERROR(WorkAreaTable[[#This Row],[Import Value (USD)]]/WorkAreaTable[[#This Row],[Quantity (KG)]],0)</f>
        <v>20.019713774597495</v>
      </c>
      <c r="O50" s="16" t="str">
        <f>IF(COUNTIF(A:A, A50)&gt;1, "Duplicate ID", IF(H50=0, "Quantity 0", IF(ISNA(VLOOKUP(C50, Master_Importer!$A:$B, 2, FALSE)), "Unmapped Importer", "OK")))</f>
        <v>OK</v>
      </c>
      <c r="P50" s="18"/>
      <c r="Q50" s="18"/>
    </row>
    <row r="51" spans="1:17">
      <c r="A51" t="s">
        <v>111</v>
      </c>
      <c r="B51" s="3">
        <v>45354</v>
      </c>
      <c r="C51" t="s">
        <v>112</v>
      </c>
      <c r="D51" t="s">
        <v>11</v>
      </c>
      <c r="E51" t="s">
        <v>12</v>
      </c>
      <c r="F51" t="s">
        <v>45</v>
      </c>
      <c r="G51" t="s">
        <v>46</v>
      </c>
      <c r="H51" s="4">
        <v>1094</v>
      </c>
      <c r="I51" s="5">
        <v>32240.13</v>
      </c>
      <c r="J51" s="7" t="str">
        <f>IFERROR(VLOOKUP(C51, Master_Importer!$A:$B, 2, FALSE), "Unmapped Importer")</f>
        <v>PT Citra Spinning</v>
      </c>
      <c r="K51" s="7" t="str">
        <f>VLOOKUP(E51,CountryMapTable[#All],2,FALSE)</f>
        <v>Japan</v>
      </c>
      <c r="L51" s="7">
        <f t="shared" si="2"/>
        <v>2024</v>
      </c>
      <c r="M51" s="7">
        <f t="shared" si="3"/>
        <v>3</v>
      </c>
      <c r="N51" s="12">
        <f>IFERROR(WorkAreaTable[[#This Row],[Import Value (USD)]]/WorkAreaTable[[#This Row],[Quantity (KG)]],0)</f>
        <v>29.469954296160878</v>
      </c>
      <c r="O51" s="16" t="str">
        <f>IF(COUNTIF(A:A, A51)&gt;1, "Duplicate ID", IF(H51=0, "Quantity 0", IF(ISNA(VLOOKUP(C51, Master_Importer!$A:$B, 2, FALSE)), "Unmapped Importer", "OK")))</f>
        <v>OK</v>
      </c>
      <c r="P51" s="18"/>
      <c r="Q51" s="18"/>
    </row>
    <row r="52" spans="1:17">
      <c r="A52" t="s">
        <v>113</v>
      </c>
      <c r="B52" s="3">
        <v>45557</v>
      </c>
      <c r="C52" t="s">
        <v>69</v>
      </c>
      <c r="D52" t="s">
        <v>28</v>
      </c>
      <c r="E52" t="s">
        <v>29</v>
      </c>
      <c r="F52" t="s">
        <v>41</v>
      </c>
      <c r="G52" t="s">
        <v>42</v>
      </c>
      <c r="H52" s="4">
        <v>1489</v>
      </c>
      <c r="I52" s="5">
        <v>51005.26</v>
      </c>
      <c r="J52" s="7" t="str">
        <f>IFERROR(VLOOKUP(C52, Master_Importer!$A:$B, 2, FALSE), "Unmapped Importer")</f>
        <v>PT Harmoni Spinning</v>
      </c>
      <c r="K52" s="7" t="str">
        <f>VLOOKUP(E52,CountryMapTable[#All],2,FALSE)</f>
        <v>Germany</v>
      </c>
      <c r="L52" s="7">
        <f t="shared" si="2"/>
        <v>2024</v>
      </c>
      <c r="M52" s="7">
        <f t="shared" si="3"/>
        <v>9</v>
      </c>
      <c r="N52" s="12">
        <f>IFERROR(WorkAreaTable[[#This Row],[Import Value (USD)]]/WorkAreaTable[[#This Row],[Quantity (KG)]],0)</f>
        <v>34.25470785762257</v>
      </c>
      <c r="O52" s="16" t="str">
        <f>IF(COUNTIF(A:A, A52)&gt;1, "Duplicate ID", IF(H52=0, "Quantity 0", IF(ISNA(VLOOKUP(C52, Master_Importer!$A:$B, 2, FALSE)), "Unmapped Importer", "OK")))</f>
        <v>OK</v>
      </c>
      <c r="P52" s="18"/>
      <c r="Q52" s="18"/>
    </row>
    <row r="53" spans="1:17">
      <c r="A53" t="s">
        <v>114</v>
      </c>
      <c r="B53" s="3">
        <v>45510</v>
      </c>
      <c r="C53" t="s">
        <v>25</v>
      </c>
      <c r="D53" t="s">
        <v>67</v>
      </c>
      <c r="E53" t="s">
        <v>50</v>
      </c>
      <c r="F53" t="s">
        <v>41</v>
      </c>
      <c r="G53" t="s">
        <v>42</v>
      </c>
      <c r="H53" s="4">
        <v>628</v>
      </c>
      <c r="I53" s="5">
        <v>18343.439999999999</v>
      </c>
      <c r="J53" s="7" t="str">
        <f>IFERROR(VLOOKUP(C53, Master_Importer!$A:$B, 2, FALSE), "Unmapped Importer")</f>
        <v>PT Aruna Textile</v>
      </c>
      <c r="K53" s="7" t="str">
        <f>VLOOKUP(E53,CountryMapTable[#All],2,FALSE)</f>
        <v>China</v>
      </c>
      <c r="L53" s="7">
        <f t="shared" si="2"/>
        <v>2024</v>
      </c>
      <c r="M53" s="7">
        <f t="shared" si="3"/>
        <v>8</v>
      </c>
      <c r="N53" s="12">
        <f>IFERROR(WorkAreaTable[[#This Row],[Import Value (USD)]]/WorkAreaTable[[#This Row],[Quantity (KG)]],0)</f>
        <v>29.209299363057323</v>
      </c>
      <c r="O53" s="16" t="str">
        <f>IF(COUNTIF(A:A, A53)&gt;1, "Duplicate ID", IF(H53=0, "Quantity 0", IF(ISNA(VLOOKUP(C53, Master_Importer!$A:$B, 2, FALSE)), "Unmapped Importer", "OK")))</f>
        <v>OK</v>
      </c>
      <c r="P53" s="18"/>
      <c r="Q53" s="18"/>
    </row>
    <row r="54" spans="1:17">
      <c r="A54" t="s">
        <v>115</v>
      </c>
      <c r="B54" s="3">
        <v>45445</v>
      </c>
      <c r="C54" t="s">
        <v>27</v>
      </c>
      <c r="D54" t="s">
        <v>67</v>
      </c>
      <c r="E54" t="s">
        <v>50</v>
      </c>
      <c r="F54" t="s">
        <v>41</v>
      </c>
      <c r="G54" t="s">
        <v>42</v>
      </c>
      <c r="H54" s="4">
        <v>1310</v>
      </c>
      <c r="I54" s="5">
        <v>51939</v>
      </c>
      <c r="J54" s="7" t="str">
        <f>IFERROR(VLOOKUP(C54, Master_Importer!$A:$B, 2, FALSE), "Unmapped Importer")</f>
        <v>PT Eka Textile</v>
      </c>
      <c r="K54" s="7" t="str">
        <f>VLOOKUP(E54,CountryMapTable[#All],2,FALSE)</f>
        <v>China</v>
      </c>
      <c r="L54" s="7">
        <f t="shared" si="2"/>
        <v>2024</v>
      </c>
      <c r="M54" s="7">
        <f t="shared" si="3"/>
        <v>6</v>
      </c>
      <c r="N54" s="12">
        <f>IFERROR(WorkAreaTable[[#This Row],[Import Value (USD)]]/WorkAreaTable[[#This Row],[Quantity (KG)]],0)</f>
        <v>39.648091603053437</v>
      </c>
      <c r="O54" s="16" t="str">
        <f>IF(COUNTIF(A:A, A54)&gt;1, "Duplicate ID", IF(H54=0, "Quantity 0", IF(ISNA(VLOOKUP(C54, Master_Importer!$A:$B, 2, FALSE)), "Unmapped Importer", "OK")))</f>
        <v>OK</v>
      </c>
      <c r="P54" s="18"/>
      <c r="Q54" s="18"/>
    </row>
    <row r="55" spans="1:17">
      <c r="A55" t="s">
        <v>116</v>
      </c>
      <c r="B55" s="3">
        <v>45499</v>
      </c>
      <c r="C55" t="s">
        <v>78</v>
      </c>
      <c r="D55" t="s">
        <v>65</v>
      </c>
      <c r="E55" t="s">
        <v>29</v>
      </c>
      <c r="F55" t="s">
        <v>18</v>
      </c>
      <c r="G55" t="s">
        <v>19</v>
      </c>
      <c r="H55" s="4">
        <v>545</v>
      </c>
      <c r="I55" s="5">
        <v>32196.48</v>
      </c>
      <c r="J55" s="7" t="str">
        <f>IFERROR(VLOOKUP(C55, Master_Importer!$A:$B, 2, FALSE), "Unmapped Importer")</f>
        <v>PT Aruna Textile</v>
      </c>
      <c r="K55" s="7" t="str">
        <f>VLOOKUP(E55,CountryMapTable[#All],2,FALSE)</f>
        <v>Germany</v>
      </c>
      <c r="L55" s="7">
        <f t="shared" si="2"/>
        <v>2024</v>
      </c>
      <c r="M55" s="7">
        <f t="shared" si="3"/>
        <v>7</v>
      </c>
      <c r="N55" s="12">
        <f>IFERROR(WorkAreaTable[[#This Row],[Import Value (USD)]]/WorkAreaTable[[#This Row],[Quantity (KG)]],0)</f>
        <v>59.076110091743118</v>
      </c>
      <c r="O55" s="16" t="str">
        <f>IF(COUNTIF(A:A, A55)&gt;1, "Duplicate ID", IF(H55=0, "Quantity 0", IF(ISNA(VLOOKUP(C55, Master_Importer!$A:$B, 2, FALSE)), "Unmapped Importer", "OK")))</f>
        <v>OK</v>
      </c>
      <c r="P55" s="18"/>
      <c r="Q55" s="18"/>
    </row>
    <row r="56" spans="1:17">
      <c r="A56" t="s">
        <v>117</v>
      </c>
      <c r="B56" s="3">
        <v>45577</v>
      </c>
      <c r="C56" t="s">
        <v>112</v>
      </c>
      <c r="D56" t="s">
        <v>67</v>
      </c>
      <c r="E56" t="s">
        <v>50</v>
      </c>
      <c r="F56" t="s">
        <v>13</v>
      </c>
      <c r="G56" t="s">
        <v>14</v>
      </c>
      <c r="H56" s="4">
        <v>2110</v>
      </c>
      <c r="I56" s="5">
        <v>146640.69</v>
      </c>
      <c r="J56" s="7" t="str">
        <f>IFERROR(VLOOKUP(C56, Master_Importer!$A:$B, 2, FALSE), "Unmapped Importer")</f>
        <v>PT Citra Spinning</v>
      </c>
      <c r="K56" s="7" t="str">
        <f>VLOOKUP(E56,CountryMapTable[#All],2,FALSE)</f>
        <v>China</v>
      </c>
      <c r="L56" s="7">
        <f t="shared" si="2"/>
        <v>2024</v>
      </c>
      <c r="M56" s="7">
        <f t="shared" si="3"/>
        <v>10</v>
      </c>
      <c r="N56" s="12">
        <f>IFERROR(WorkAreaTable[[#This Row],[Import Value (USD)]]/WorkAreaTable[[#This Row],[Quantity (KG)]],0)</f>
        <v>69.497957345971571</v>
      </c>
      <c r="O56" s="16" t="str">
        <f>IF(COUNTIF(A:A, A56)&gt;1, "Duplicate ID", IF(H56=0, "Quantity 0", IF(ISNA(VLOOKUP(C56, Master_Importer!$A:$B, 2, FALSE)), "Unmapped Importer", "OK")))</f>
        <v>OK</v>
      </c>
      <c r="P56" s="18"/>
      <c r="Q56" s="18"/>
    </row>
    <row r="57" spans="1:17">
      <c r="A57" t="s">
        <v>118</v>
      </c>
      <c r="B57" s="3">
        <v>45540</v>
      </c>
      <c r="C57" t="s">
        <v>97</v>
      </c>
      <c r="D57" t="s">
        <v>91</v>
      </c>
      <c r="E57" t="s">
        <v>60</v>
      </c>
      <c r="F57" t="s">
        <v>45</v>
      </c>
      <c r="G57" t="s">
        <v>46</v>
      </c>
      <c r="H57" s="4">
        <v>1205</v>
      </c>
      <c r="I57" s="5">
        <v>35009.760000000002</v>
      </c>
      <c r="J57" s="7" t="str">
        <f>IFERROR(VLOOKUP(C57, Master_Importer!$A:$B, 2, FALSE), "Unmapped Importer")</f>
        <v>PT Harmoni Spinning</v>
      </c>
      <c r="K57" s="7" t="str">
        <f>VLOOKUP(E57,CountryMapTable[#All],2,FALSE)</f>
        <v>Switzerland</v>
      </c>
      <c r="L57" s="7">
        <f t="shared" si="2"/>
        <v>2024</v>
      </c>
      <c r="M57" s="7">
        <f t="shared" si="3"/>
        <v>9</v>
      </c>
      <c r="N57" s="12">
        <f>IFERROR(WorkAreaTable[[#This Row],[Import Value (USD)]]/WorkAreaTable[[#This Row],[Quantity (KG)]],0)</f>
        <v>29.053742738589214</v>
      </c>
      <c r="O57" s="16" t="str">
        <f>IF(COUNTIF(A:A, A57)&gt;1, "Duplicate ID", IF(H57=0, "Quantity 0", IF(ISNA(VLOOKUP(C57, Master_Importer!$A:$B, 2, FALSE)), "Unmapped Importer", "OK")))</f>
        <v>OK</v>
      </c>
      <c r="P57" s="18"/>
      <c r="Q57" s="18"/>
    </row>
    <row r="58" spans="1:17">
      <c r="A58" t="s">
        <v>119</v>
      </c>
      <c r="B58" s="3">
        <v>45609</v>
      </c>
      <c r="C58" t="s">
        <v>89</v>
      </c>
      <c r="D58" t="s">
        <v>91</v>
      </c>
      <c r="E58" t="s">
        <v>60</v>
      </c>
      <c r="F58" t="s">
        <v>41</v>
      </c>
      <c r="G58" t="s">
        <v>42</v>
      </c>
      <c r="H58" s="4">
        <v>2130</v>
      </c>
      <c r="I58" s="5">
        <v>59319.7</v>
      </c>
      <c r="J58" s="7" t="str">
        <f>IFERROR(VLOOKUP(C58, Master_Importer!$A:$B, 2, FALSE), "Unmapped Importer")</f>
        <v>PT Bintang Weaving</v>
      </c>
      <c r="K58" s="7" t="str">
        <f>VLOOKUP(E58,CountryMapTable[#All],2,FALSE)</f>
        <v>Switzerland</v>
      </c>
      <c r="L58" s="7">
        <f t="shared" si="2"/>
        <v>2024</v>
      </c>
      <c r="M58" s="7">
        <f t="shared" si="3"/>
        <v>11</v>
      </c>
      <c r="N58" s="12">
        <f>IFERROR(WorkAreaTable[[#This Row],[Import Value (USD)]]/WorkAreaTable[[#This Row],[Quantity (KG)]],0)</f>
        <v>27.849624413145538</v>
      </c>
      <c r="O58" s="16" t="str">
        <f>IF(COUNTIF(A:A, A58)&gt;1, "Duplicate ID", IF(H58=0, "Quantity 0", IF(ISNA(VLOOKUP(C58, Master_Importer!$A:$B, 2, FALSE)), "Unmapped Importer", "OK")))</f>
        <v>OK</v>
      </c>
      <c r="P58" s="18"/>
      <c r="Q58" s="18"/>
    </row>
    <row r="59" spans="1:17">
      <c r="A59" t="s">
        <v>120</v>
      </c>
      <c r="B59" s="3">
        <v>45549</v>
      </c>
      <c r="C59" t="s">
        <v>44</v>
      </c>
      <c r="D59" t="s">
        <v>49</v>
      </c>
      <c r="E59" t="s">
        <v>50</v>
      </c>
      <c r="F59" t="s">
        <v>18</v>
      </c>
      <c r="G59" t="s">
        <v>19</v>
      </c>
      <c r="H59" s="4">
        <v>2976</v>
      </c>
      <c r="I59" s="5">
        <v>135934.9</v>
      </c>
      <c r="J59" s="7" t="str">
        <f>IFERROR(VLOOKUP(C59, Master_Importer!$A:$B, 2, FALSE), "Unmapped Importer")</f>
        <v>PT Aruna Textile</v>
      </c>
      <c r="K59" s="7" t="str">
        <f>VLOOKUP(E59,CountryMapTable[#All],2,FALSE)</f>
        <v>China</v>
      </c>
      <c r="L59" s="7">
        <f t="shared" si="2"/>
        <v>2024</v>
      </c>
      <c r="M59" s="7">
        <f t="shared" si="3"/>
        <v>9</v>
      </c>
      <c r="N59" s="12">
        <f>IFERROR(WorkAreaTable[[#This Row],[Import Value (USD)]]/WorkAreaTable[[#This Row],[Quantity (KG)]],0)</f>
        <v>45.677049731182791</v>
      </c>
      <c r="O59" s="16" t="str">
        <f>IF(COUNTIF(A:A, A59)&gt;1, "Duplicate ID", IF(H59=0, "Quantity 0", IF(ISNA(VLOOKUP(C59, Master_Importer!$A:$B, 2, FALSE)), "Unmapped Importer", "OK")))</f>
        <v>OK</v>
      </c>
      <c r="P59" s="18"/>
      <c r="Q59" s="18"/>
    </row>
    <row r="60" spans="1:17">
      <c r="A60" t="s">
        <v>121</v>
      </c>
      <c r="B60" s="3">
        <v>45351</v>
      </c>
      <c r="C60" t="s">
        <v>35</v>
      </c>
      <c r="D60" t="s">
        <v>11</v>
      </c>
      <c r="E60" t="s">
        <v>12</v>
      </c>
      <c r="F60" t="s">
        <v>13</v>
      </c>
      <c r="G60" t="s">
        <v>14</v>
      </c>
      <c r="H60" s="4">
        <v>1632</v>
      </c>
      <c r="I60" s="5">
        <v>68792.66</v>
      </c>
      <c r="J60" s="7" t="str">
        <f>IFERROR(VLOOKUP(C60, Master_Importer!$A:$B, 2, FALSE), "Unmapped Importer")</f>
        <v>PT Bintang Weaving</v>
      </c>
      <c r="K60" s="7" t="str">
        <f>VLOOKUP(E60,CountryMapTable[#All],2,FALSE)</f>
        <v>Japan</v>
      </c>
      <c r="L60" s="7">
        <f t="shared" si="2"/>
        <v>2024</v>
      </c>
      <c r="M60" s="7">
        <f t="shared" si="3"/>
        <v>2</v>
      </c>
      <c r="N60" s="12">
        <f>IFERROR(WorkAreaTable[[#This Row],[Import Value (USD)]]/WorkAreaTable[[#This Row],[Quantity (KG)]],0)</f>
        <v>42.152365196078435</v>
      </c>
      <c r="O60" s="16" t="str">
        <f>IF(COUNTIF(A:A, A60)&gt;1, "Duplicate ID", IF(H60=0, "Quantity 0", IF(ISNA(VLOOKUP(C60, Master_Importer!$A:$B, 2, FALSE)), "Unmapped Importer", "OK")))</f>
        <v>OK</v>
      </c>
      <c r="P60" s="18"/>
      <c r="Q60" s="18"/>
    </row>
    <row r="61" spans="1:17">
      <c r="A61" t="s">
        <v>122</v>
      </c>
      <c r="B61" s="3">
        <v>45615</v>
      </c>
      <c r="C61" t="s">
        <v>89</v>
      </c>
      <c r="D61" t="s">
        <v>22</v>
      </c>
      <c r="E61" t="s">
        <v>23</v>
      </c>
      <c r="F61" t="s">
        <v>45</v>
      </c>
      <c r="G61" t="s">
        <v>46</v>
      </c>
      <c r="H61" s="4">
        <v>1568</v>
      </c>
      <c r="I61" s="5">
        <v>49326.51</v>
      </c>
      <c r="J61" s="7" t="str">
        <f>IFERROR(VLOOKUP(C61, Master_Importer!$A:$B, 2, FALSE), "Unmapped Importer")</f>
        <v>PT Bintang Weaving</v>
      </c>
      <c r="K61" s="7" t="str">
        <f>VLOOKUP(E61,CountryMapTable[#All],2,FALSE)</f>
        <v>India</v>
      </c>
      <c r="L61" s="7">
        <f t="shared" si="2"/>
        <v>2024</v>
      </c>
      <c r="M61" s="7">
        <f t="shared" si="3"/>
        <v>11</v>
      </c>
      <c r="N61" s="12">
        <f>IFERROR(WorkAreaTable[[#This Row],[Import Value (USD)]]/WorkAreaTable[[#This Row],[Quantity (KG)]],0)</f>
        <v>31.45823341836735</v>
      </c>
      <c r="O61" s="16" t="str">
        <f>IF(COUNTIF(A:A, A61)&gt;1, "Duplicate ID", IF(H61=0, "Quantity 0", IF(ISNA(VLOOKUP(C61, Master_Importer!$A:$B, 2, FALSE)), "Unmapped Importer", "OK")))</f>
        <v>OK</v>
      </c>
      <c r="P61" s="18"/>
      <c r="Q61" s="18"/>
    </row>
    <row r="62" spans="1:17">
      <c r="A62" t="s">
        <v>123</v>
      </c>
      <c r="B62" s="3">
        <v>45454</v>
      </c>
      <c r="C62" t="s">
        <v>35</v>
      </c>
      <c r="D62" t="s">
        <v>22</v>
      </c>
      <c r="E62" t="s">
        <v>23</v>
      </c>
      <c r="F62" t="s">
        <v>13</v>
      </c>
      <c r="G62" t="s">
        <v>14</v>
      </c>
      <c r="H62" s="4">
        <v>1446</v>
      </c>
      <c r="I62" s="5">
        <v>79246.850000000006</v>
      </c>
      <c r="J62" s="7" t="str">
        <f>IFERROR(VLOOKUP(C62, Master_Importer!$A:$B, 2, FALSE), "Unmapped Importer")</f>
        <v>PT Bintang Weaving</v>
      </c>
      <c r="K62" s="7" t="str">
        <f>VLOOKUP(E62,CountryMapTable[#All],2,FALSE)</f>
        <v>India</v>
      </c>
      <c r="L62" s="7">
        <f t="shared" si="2"/>
        <v>2024</v>
      </c>
      <c r="M62" s="7">
        <f t="shared" si="3"/>
        <v>6</v>
      </c>
      <c r="N62" s="12">
        <f>IFERROR(WorkAreaTable[[#This Row],[Import Value (USD)]]/WorkAreaTable[[#This Row],[Quantity (KG)]],0)</f>
        <v>54.80418395573998</v>
      </c>
      <c r="O62" s="16" t="str">
        <f>IF(COUNTIF(A:A, A62)&gt;1, "Duplicate ID", IF(H62=0, "Quantity 0", IF(ISNA(VLOOKUP(C62, Master_Importer!$A:$B, 2, FALSE)), "Unmapped Importer", "OK")))</f>
        <v>OK</v>
      </c>
      <c r="P62" s="18"/>
      <c r="Q62" s="18"/>
    </row>
    <row r="63" spans="1:17">
      <c r="A63" t="s">
        <v>124</v>
      </c>
      <c r="B63" s="3">
        <v>45557</v>
      </c>
      <c r="C63" t="s">
        <v>102</v>
      </c>
      <c r="D63" t="s">
        <v>17</v>
      </c>
      <c r="E63" t="s">
        <v>12</v>
      </c>
      <c r="F63" t="s">
        <v>51</v>
      </c>
      <c r="G63" t="s">
        <v>52</v>
      </c>
      <c r="H63" s="4">
        <v>1118</v>
      </c>
      <c r="I63" s="5">
        <v>85260.61</v>
      </c>
      <c r="J63" s="7" t="str">
        <f>IFERROR(VLOOKUP(C63, Master_Importer!$A:$B, 2, FALSE), "Unmapped Importer")</f>
        <v>PT Eka Textile</v>
      </c>
      <c r="K63" s="7" t="str">
        <f>VLOOKUP(E63,CountryMapTable[#All],2,FALSE)</f>
        <v>Japan</v>
      </c>
      <c r="L63" s="7">
        <f t="shared" si="2"/>
        <v>2024</v>
      </c>
      <c r="M63" s="7">
        <f t="shared" si="3"/>
        <v>9</v>
      </c>
      <c r="N63" s="12">
        <f>IFERROR(WorkAreaTable[[#This Row],[Import Value (USD)]]/WorkAreaTable[[#This Row],[Quantity (KG)]],0)</f>
        <v>76.261726296958855</v>
      </c>
      <c r="O63" s="16" t="str">
        <f>IF(COUNTIF(A:A, A63)&gt;1, "Duplicate ID", IF(H63=0, "Quantity 0", IF(ISNA(VLOOKUP(C63, Master_Importer!$A:$B, 2, FALSE)), "Unmapped Importer", "OK")))</f>
        <v>OK</v>
      </c>
      <c r="P63" s="18"/>
      <c r="Q63" s="18"/>
    </row>
    <row r="64" spans="1:17">
      <c r="A64" t="s">
        <v>125</v>
      </c>
      <c r="B64" s="3">
        <v>45590</v>
      </c>
      <c r="C64" t="s">
        <v>31</v>
      </c>
      <c r="D64" t="s">
        <v>40</v>
      </c>
      <c r="E64" t="s">
        <v>23</v>
      </c>
      <c r="F64" t="s">
        <v>18</v>
      </c>
      <c r="G64" t="s">
        <v>19</v>
      </c>
      <c r="H64" s="4">
        <v>763</v>
      </c>
      <c r="I64" s="5">
        <v>32321.18</v>
      </c>
      <c r="J64" s="7" t="str">
        <f>IFERROR(VLOOKUP(C64, Master_Importer!$A:$B, 2, FALSE), "Unmapped Importer")</f>
        <v>PT Fajar Knitting</v>
      </c>
      <c r="K64" s="7" t="str">
        <f>VLOOKUP(E64,CountryMapTable[#All],2,FALSE)</f>
        <v>India</v>
      </c>
      <c r="L64" s="7">
        <f t="shared" si="2"/>
        <v>2024</v>
      </c>
      <c r="M64" s="7">
        <f t="shared" si="3"/>
        <v>10</v>
      </c>
      <c r="N64" s="12">
        <f>IFERROR(WorkAreaTable[[#This Row],[Import Value (USD)]]/WorkAreaTable[[#This Row],[Quantity (KG)]],0)</f>
        <v>42.360655307994755</v>
      </c>
      <c r="O64" s="16" t="str">
        <f>IF(COUNTIF(A:A, A64)&gt;1, "Duplicate ID", IF(H64=0, "Quantity 0", IF(ISNA(VLOOKUP(C64, Master_Importer!$A:$B, 2, FALSE)), "Unmapped Importer", "OK")))</f>
        <v>OK</v>
      </c>
      <c r="P64" s="18"/>
      <c r="Q64" s="18"/>
    </row>
    <row r="65" spans="1:17">
      <c r="A65" t="s">
        <v>126</v>
      </c>
      <c r="B65" s="3">
        <v>45650</v>
      </c>
      <c r="C65" t="s">
        <v>25</v>
      </c>
      <c r="D65" t="s">
        <v>65</v>
      </c>
      <c r="E65" t="s">
        <v>29</v>
      </c>
      <c r="F65" t="s">
        <v>32</v>
      </c>
      <c r="G65" t="s">
        <v>33</v>
      </c>
      <c r="H65" s="4">
        <v>890</v>
      </c>
      <c r="I65" s="5">
        <v>29497.31</v>
      </c>
      <c r="J65" s="7" t="str">
        <f>IFERROR(VLOOKUP(C65, Master_Importer!$A:$B, 2, FALSE), "Unmapped Importer")</f>
        <v>PT Aruna Textile</v>
      </c>
      <c r="K65" s="7" t="str">
        <f>VLOOKUP(E65,CountryMapTable[#All],2,FALSE)</f>
        <v>Germany</v>
      </c>
      <c r="L65" s="7">
        <f t="shared" si="2"/>
        <v>2024</v>
      </c>
      <c r="M65" s="7">
        <f t="shared" si="3"/>
        <v>12</v>
      </c>
      <c r="N65" s="12">
        <f>IFERROR(WorkAreaTable[[#This Row],[Import Value (USD)]]/WorkAreaTable[[#This Row],[Quantity (KG)]],0)</f>
        <v>33.143044943820229</v>
      </c>
      <c r="O65" s="16" t="str">
        <f>IF(COUNTIF(A:A, A65)&gt;1, "Duplicate ID", IF(H65=0, "Quantity 0", IF(ISNA(VLOOKUP(C65, Master_Importer!$A:$B, 2, FALSE)), "Unmapped Importer", "OK")))</f>
        <v>OK</v>
      </c>
      <c r="P65" s="18"/>
      <c r="Q65" s="18"/>
    </row>
    <row r="66" spans="1:17">
      <c r="A66" t="s">
        <v>127</v>
      </c>
      <c r="B66" s="3">
        <v>45297</v>
      </c>
      <c r="C66" t="s">
        <v>16</v>
      </c>
      <c r="D66" t="s">
        <v>65</v>
      </c>
      <c r="E66" t="s">
        <v>29</v>
      </c>
      <c r="F66" t="s">
        <v>45</v>
      </c>
      <c r="G66" t="s">
        <v>46</v>
      </c>
      <c r="H66" s="4">
        <v>1079</v>
      </c>
      <c r="I66" s="5">
        <v>22704.95</v>
      </c>
      <c r="J66" s="7" t="str">
        <f>IFERROR(VLOOKUP(C66, Master_Importer!$A:$B, 2, FALSE), "Unmapped Importer")</f>
        <v>PT Gemilang Textile</v>
      </c>
      <c r="K66" s="7" t="str">
        <f>VLOOKUP(E66,CountryMapTable[#All],2,FALSE)</f>
        <v>Germany</v>
      </c>
      <c r="L66" s="7">
        <f t="shared" ref="L66:L97" si="4">YEAR(B66)</f>
        <v>2024</v>
      </c>
      <c r="M66" s="7">
        <f t="shared" ref="M66:M97" si="5">MONTH(B66)</f>
        <v>1</v>
      </c>
      <c r="N66" s="12">
        <f>IFERROR(WorkAreaTable[[#This Row],[Import Value (USD)]]/WorkAreaTable[[#This Row],[Quantity (KG)]],0)</f>
        <v>21.042585727525488</v>
      </c>
      <c r="O66" s="16" t="str">
        <f>IF(COUNTIF(A:A, A66)&gt;1, "Duplicate ID", IF(H66=0, "Quantity 0", IF(ISNA(VLOOKUP(C66, Master_Importer!$A:$B, 2, FALSE)), "Unmapped Importer", "OK")))</f>
        <v>OK</v>
      </c>
      <c r="P66" s="18"/>
      <c r="Q66" s="18"/>
    </row>
    <row r="67" spans="1:17">
      <c r="A67" t="s">
        <v>128</v>
      </c>
      <c r="B67" s="3">
        <v>45292</v>
      </c>
      <c r="C67" t="s">
        <v>75</v>
      </c>
      <c r="D67" t="s">
        <v>49</v>
      </c>
      <c r="E67" t="s">
        <v>50</v>
      </c>
      <c r="F67" t="s">
        <v>41</v>
      </c>
      <c r="G67" t="s">
        <v>42</v>
      </c>
      <c r="H67" s="4">
        <v>1171</v>
      </c>
      <c r="I67" s="5">
        <v>40951.61</v>
      </c>
      <c r="J67" s="7" t="str">
        <f>IFERROR(VLOOKUP(C67, Master_Importer!$A:$B, 2, FALSE), "Unmapped Importer")</f>
        <v>PT Daya Fabrics</v>
      </c>
      <c r="K67" s="7" t="str">
        <f>VLOOKUP(E67,CountryMapTable[#All],2,FALSE)</f>
        <v>China</v>
      </c>
      <c r="L67" s="7">
        <f t="shared" si="4"/>
        <v>2024</v>
      </c>
      <c r="M67" s="7">
        <f t="shared" si="5"/>
        <v>1</v>
      </c>
      <c r="N67" s="12">
        <f>IFERROR(WorkAreaTable[[#This Row],[Import Value (USD)]]/WorkAreaTable[[#This Row],[Quantity (KG)]],0)</f>
        <v>34.971485909479078</v>
      </c>
      <c r="O67" s="16" t="str">
        <f>IF(COUNTIF(A:A, A67)&gt;1, "Duplicate ID", IF(H67=0, "Quantity 0", IF(ISNA(VLOOKUP(C67, Master_Importer!$A:$B, 2, FALSE)), "Unmapped Importer", "OK")))</f>
        <v>OK</v>
      </c>
      <c r="P67" s="18"/>
      <c r="Q67" s="18"/>
    </row>
    <row r="68" spans="1:17">
      <c r="A68" t="s">
        <v>129</v>
      </c>
      <c r="B68" s="3">
        <v>45565</v>
      </c>
      <c r="C68" t="s">
        <v>102</v>
      </c>
      <c r="D68" t="s">
        <v>17</v>
      </c>
      <c r="E68" t="s">
        <v>12</v>
      </c>
      <c r="F68" t="s">
        <v>32</v>
      </c>
      <c r="G68" t="s">
        <v>33</v>
      </c>
      <c r="H68" s="4">
        <v>828</v>
      </c>
      <c r="I68" s="5">
        <v>41427.379999999997</v>
      </c>
      <c r="J68" s="7" t="str">
        <f>IFERROR(VLOOKUP(C68, Master_Importer!$A:$B, 2, FALSE), "Unmapped Importer")</f>
        <v>PT Eka Textile</v>
      </c>
      <c r="K68" s="7" t="str">
        <f>VLOOKUP(E68,CountryMapTable[#All],2,FALSE)</f>
        <v>Japan</v>
      </c>
      <c r="L68" s="7">
        <f t="shared" si="4"/>
        <v>2024</v>
      </c>
      <c r="M68" s="7">
        <f t="shared" si="5"/>
        <v>9</v>
      </c>
      <c r="N68" s="12">
        <f>IFERROR(WorkAreaTable[[#This Row],[Import Value (USD)]]/WorkAreaTable[[#This Row],[Quantity (KG)]],0)</f>
        <v>50.033067632850241</v>
      </c>
      <c r="O68" s="16" t="str">
        <f>IF(COUNTIF(A:A, A68)&gt;1, "Duplicate ID", IF(H68=0, "Quantity 0", IF(ISNA(VLOOKUP(C68, Master_Importer!$A:$B, 2, FALSE)), "Unmapped Importer", "OK")))</f>
        <v>OK</v>
      </c>
      <c r="P68" s="18"/>
      <c r="Q68" s="18"/>
    </row>
    <row r="69" spans="1:17">
      <c r="A69" t="s">
        <v>130</v>
      </c>
      <c r="B69" s="3">
        <v>45449</v>
      </c>
      <c r="C69" t="s">
        <v>89</v>
      </c>
      <c r="D69" t="s">
        <v>36</v>
      </c>
      <c r="E69" t="s">
        <v>37</v>
      </c>
      <c r="F69" t="s">
        <v>45</v>
      </c>
      <c r="G69" t="s">
        <v>46</v>
      </c>
      <c r="H69" s="4">
        <v>2353</v>
      </c>
      <c r="I69" s="5">
        <v>57699.97</v>
      </c>
      <c r="J69" s="7" t="str">
        <f>IFERROR(VLOOKUP(C69, Master_Importer!$A:$B, 2, FALSE), "Unmapped Importer")</f>
        <v>PT Bintang Weaving</v>
      </c>
      <c r="K69" s="7" t="str">
        <f>VLOOKUP(E69,CountryMapTable[#All],2,FALSE)</f>
        <v>Türkiye</v>
      </c>
      <c r="L69" s="7">
        <f t="shared" si="4"/>
        <v>2024</v>
      </c>
      <c r="M69" s="7">
        <f t="shared" si="5"/>
        <v>6</v>
      </c>
      <c r="N69" s="12">
        <f>IFERROR(WorkAreaTable[[#This Row],[Import Value (USD)]]/WorkAreaTable[[#This Row],[Quantity (KG)]],0)</f>
        <v>24.521874203144922</v>
      </c>
      <c r="O69" s="16" t="str">
        <f>IF(COUNTIF(A:A, A69)&gt;1, "Duplicate ID", IF(H69=0, "Quantity 0", IF(ISNA(VLOOKUP(C69, Master_Importer!$A:$B, 2, FALSE)), "Unmapped Importer", "OK")))</f>
        <v>OK</v>
      </c>
      <c r="P69" s="18"/>
      <c r="Q69" s="18"/>
    </row>
    <row r="70" spans="1:17">
      <c r="A70" t="s">
        <v>131</v>
      </c>
      <c r="B70" s="3">
        <v>45362</v>
      </c>
      <c r="C70" t="s">
        <v>78</v>
      </c>
      <c r="D70" t="s">
        <v>67</v>
      </c>
      <c r="E70" t="s">
        <v>50</v>
      </c>
      <c r="F70" t="s">
        <v>32</v>
      </c>
      <c r="G70" t="s">
        <v>33</v>
      </c>
      <c r="H70" s="4">
        <v>4226</v>
      </c>
      <c r="I70" s="5">
        <v>140715.54999999999</v>
      </c>
      <c r="J70" s="7" t="str">
        <f>IFERROR(VLOOKUP(C70, Master_Importer!$A:$B, 2, FALSE), "Unmapped Importer")</f>
        <v>PT Aruna Textile</v>
      </c>
      <c r="K70" s="7" t="str">
        <f>VLOOKUP(E70,CountryMapTable[#All],2,FALSE)</f>
        <v>China</v>
      </c>
      <c r="L70" s="7">
        <f t="shared" si="4"/>
        <v>2024</v>
      </c>
      <c r="M70" s="7">
        <f t="shared" si="5"/>
        <v>3</v>
      </c>
      <c r="N70" s="12">
        <f>IFERROR(WorkAreaTable[[#This Row],[Import Value (USD)]]/WorkAreaTable[[#This Row],[Quantity (KG)]],0)</f>
        <v>33.29757453857075</v>
      </c>
      <c r="O70" s="16" t="str">
        <f>IF(COUNTIF(A:A, A70)&gt;1, "Duplicate ID", IF(H70=0, "Quantity 0", IF(ISNA(VLOOKUP(C70, Master_Importer!$A:$B, 2, FALSE)), "Unmapped Importer", "OK")))</f>
        <v>OK</v>
      </c>
      <c r="P70" s="18"/>
      <c r="Q70" s="18"/>
    </row>
    <row r="71" spans="1:17">
      <c r="A71" t="s">
        <v>132</v>
      </c>
      <c r="B71" s="3">
        <v>45299</v>
      </c>
      <c r="C71" t="s">
        <v>48</v>
      </c>
      <c r="D71" t="s">
        <v>11</v>
      </c>
      <c r="E71" t="s">
        <v>12</v>
      </c>
      <c r="F71" t="s">
        <v>13</v>
      </c>
      <c r="G71" t="s">
        <v>14</v>
      </c>
      <c r="H71" s="4">
        <v>1314</v>
      </c>
      <c r="I71" s="5">
        <v>72604.72</v>
      </c>
      <c r="J71" s="7" t="str">
        <f>IFERROR(VLOOKUP(C71, Master_Importer!$A:$B, 2, FALSE), "Unmapped Importer")</f>
        <v>PT Harmoni Spinning</v>
      </c>
      <c r="K71" s="7" t="str">
        <f>VLOOKUP(E71,CountryMapTable[#All],2,FALSE)</f>
        <v>Japan</v>
      </c>
      <c r="L71" s="7">
        <f t="shared" si="4"/>
        <v>2024</v>
      </c>
      <c r="M71" s="7">
        <f t="shared" si="5"/>
        <v>1</v>
      </c>
      <c r="N71" s="12">
        <f>IFERROR(WorkAreaTable[[#This Row],[Import Value (USD)]]/WorkAreaTable[[#This Row],[Quantity (KG)]],0)</f>
        <v>55.254733637747336</v>
      </c>
      <c r="O71" s="16" t="str">
        <f>IF(COUNTIF(A:A, A71)&gt;1, "Duplicate ID", IF(H71=0, "Quantity 0", IF(ISNA(VLOOKUP(C71, Master_Importer!$A:$B, 2, FALSE)), "Unmapped Importer", "OK")))</f>
        <v>OK</v>
      </c>
      <c r="P71" s="18"/>
      <c r="Q71" s="18"/>
    </row>
    <row r="72" spans="1:17">
      <c r="A72" t="s">
        <v>133</v>
      </c>
      <c r="B72" s="3">
        <v>45777</v>
      </c>
      <c r="C72" t="s">
        <v>78</v>
      </c>
      <c r="D72" t="s">
        <v>67</v>
      </c>
      <c r="E72" t="s">
        <v>50</v>
      </c>
      <c r="F72" t="s">
        <v>41</v>
      </c>
      <c r="G72" t="s">
        <v>42</v>
      </c>
      <c r="H72" s="4">
        <v>2046</v>
      </c>
      <c r="I72" s="5">
        <v>65933.88</v>
      </c>
      <c r="J72" s="7" t="str">
        <f>IFERROR(VLOOKUP(C72, Master_Importer!$A:$B, 2, FALSE), "Unmapped Importer")</f>
        <v>PT Aruna Textile</v>
      </c>
      <c r="K72" s="7" t="str">
        <f>VLOOKUP(E72,CountryMapTable[#All],2,FALSE)</f>
        <v>China</v>
      </c>
      <c r="L72" s="7">
        <f t="shared" si="4"/>
        <v>2025</v>
      </c>
      <c r="M72" s="7">
        <f t="shared" si="5"/>
        <v>4</v>
      </c>
      <c r="N72" s="12">
        <f>IFERROR(WorkAreaTable[[#This Row],[Import Value (USD)]]/WorkAreaTable[[#This Row],[Quantity (KG)]],0)</f>
        <v>32.225747800586511</v>
      </c>
      <c r="O72" s="16" t="str">
        <f>IF(COUNTIF(A:A, A72)&gt;1, "Duplicate ID", IF(H72=0, "Quantity 0", IF(ISNA(VLOOKUP(C72, Master_Importer!$A:$B, 2, FALSE)), "Unmapped Importer", "OK")))</f>
        <v>OK</v>
      </c>
      <c r="P72" s="18"/>
      <c r="Q72" s="18"/>
    </row>
    <row r="73" spans="1:17">
      <c r="A73" t="s">
        <v>134</v>
      </c>
      <c r="B73" s="3">
        <v>45899</v>
      </c>
      <c r="C73" t="s">
        <v>97</v>
      </c>
      <c r="D73" t="s">
        <v>17</v>
      </c>
      <c r="E73" t="s">
        <v>12</v>
      </c>
      <c r="F73" t="s">
        <v>13</v>
      </c>
      <c r="G73" t="s">
        <v>14</v>
      </c>
      <c r="H73" s="4">
        <v>864</v>
      </c>
      <c r="I73" s="5">
        <v>61029.75</v>
      </c>
      <c r="J73" s="7" t="str">
        <f>IFERROR(VLOOKUP(C73, Master_Importer!$A:$B, 2, FALSE), "Unmapped Importer")</f>
        <v>PT Harmoni Spinning</v>
      </c>
      <c r="K73" s="7" t="str">
        <f>VLOOKUP(E73,CountryMapTable[#All],2,FALSE)</f>
        <v>Japan</v>
      </c>
      <c r="L73" s="7">
        <f t="shared" si="4"/>
        <v>2025</v>
      </c>
      <c r="M73" s="7">
        <f t="shared" si="5"/>
        <v>8</v>
      </c>
      <c r="N73" s="12">
        <f>IFERROR(WorkAreaTable[[#This Row],[Import Value (USD)]]/WorkAreaTable[[#This Row],[Quantity (KG)]],0)</f>
        <v>70.636284722222229</v>
      </c>
      <c r="O73" s="16" t="str">
        <f>IF(COUNTIF(A:A, A73)&gt;1, "Duplicate ID", IF(H73=0, "Quantity 0", IF(ISNA(VLOOKUP(C73, Master_Importer!$A:$B, 2, FALSE)), "Unmapped Importer", "OK")))</f>
        <v>OK</v>
      </c>
      <c r="P73" s="18"/>
      <c r="Q73" s="18"/>
    </row>
    <row r="74" spans="1:17">
      <c r="A74" t="s">
        <v>135</v>
      </c>
      <c r="B74" s="3">
        <v>45780</v>
      </c>
      <c r="C74" t="s">
        <v>48</v>
      </c>
      <c r="D74" t="s">
        <v>67</v>
      </c>
      <c r="E74" t="s">
        <v>50</v>
      </c>
      <c r="F74" t="s">
        <v>32</v>
      </c>
      <c r="G74" t="s">
        <v>33</v>
      </c>
      <c r="H74" s="4">
        <v>1580</v>
      </c>
      <c r="I74" s="5">
        <v>49028.97</v>
      </c>
      <c r="J74" s="7" t="str">
        <f>IFERROR(VLOOKUP(C74, Master_Importer!$A:$B, 2, FALSE), "Unmapped Importer")</f>
        <v>PT Harmoni Spinning</v>
      </c>
      <c r="K74" s="7" t="str">
        <f>VLOOKUP(E74,CountryMapTable[#All],2,FALSE)</f>
        <v>China</v>
      </c>
      <c r="L74" s="7">
        <f t="shared" si="4"/>
        <v>2025</v>
      </c>
      <c r="M74" s="7">
        <f t="shared" si="5"/>
        <v>5</v>
      </c>
      <c r="N74" s="12">
        <f>IFERROR(WorkAreaTable[[#This Row],[Import Value (USD)]]/WorkAreaTable[[#This Row],[Quantity (KG)]],0)</f>
        <v>31.030993670886076</v>
      </c>
      <c r="O74" s="16" t="str">
        <f>IF(COUNTIF(A:A, A74)&gt;1, "Duplicate ID", IF(H74=0, "Quantity 0", IF(ISNA(VLOOKUP(C74, Master_Importer!$A:$B, 2, FALSE)), "Unmapped Importer", "OK")))</f>
        <v>OK</v>
      </c>
      <c r="P74" s="18"/>
      <c r="Q74" s="18"/>
    </row>
    <row r="75" spans="1:17">
      <c r="A75" t="s">
        <v>136</v>
      </c>
      <c r="B75" s="3">
        <v>45886</v>
      </c>
      <c r="C75" t="s">
        <v>31</v>
      </c>
      <c r="D75" t="s">
        <v>49</v>
      </c>
      <c r="E75" t="s">
        <v>50</v>
      </c>
      <c r="F75" t="s">
        <v>45</v>
      </c>
      <c r="G75" t="s">
        <v>46</v>
      </c>
      <c r="H75" s="4">
        <v>1143</v>
      </c>
      <c r="I75" s="5">
        <v>39678.36</v>
      </c>
      <c r="J75" s="7" t="str">
        <f>IFERROR(VLOOKUP(C75, Master_Importer!$A:$B, 2, FALSE), "Unmapped Importer")</f>
        <v>PT Fajar Knitting</v>
      </c>
      <c r="K75" s="7" t="str">
        <f>VLOOKUP(E75,CountryMapTable[#All],2,FALSE)</f>
        <v>China</v>
      </c>
      <c r="L75" s="7">
        <f t="shared" si="4"/>
        <v>2025</v>
      </c>
      <c r="M75" s="7">
        <f t="shared" si="5"/>
        <v>8</v>
      </c>
      <c r="N75" s="12">
        <f>IFERROR(WorkAreaTable[[#This Row],[Import Value (USD)]]/WorkAreaTable[[#This Row],[Quantity (KG)]],0)</f>
        <v>34.714225721784779</v>
      </c>
      <c r="O75" s="16" t="str">
        <f>IF(COUNTIF(A:A, A75)&gt;1, "Duplicate ID", IF(H75=0, "Quantity 0", IF(ISNA(VLOOKUP(C75, Master_Importer!$A:$B, 2, FALSE)), "Unmapped Importer", "OK")))</f>
        <v>OK</v>
      </c>
      <c r="P75" s="18"/>
      <c r="Q75" s="18"/>
    </row>
    <row r="76" spans="1:17">
      <c r="A76" t="s">
        <v>137</v>
      </c>
      <c r="B76" s="3">
        <v>45918</v>
      </c>
      <c r="C76" t="s">
        <v>78</v>
      </c>
      <c r="D76" t="s">
        <v>67</v>
      </c>
      <c r="E76" t="s">
        <v>50</v>
      </c>
      <c r="F76" t="s">
        <v>41</v>
      </c>
      <c r="G76" t="s">
        <v>42</v>
      </c>
      <c r="H76" s="4">
        <v>1829</v>
      </c>
      <c r="I76" s="5">
        <v>58832.44</v>
      </c>
      <c r="J76" s="7" t="str">
        <f>IFERROR(VLOOKUP(C76, Master_Importer!$A:$B, 2, FALSE), "Unmapped Importer")</f>
        <v>PT Aruna Textile</v>
      </c>
      <c r="K76" s="7" t="str">
        <f>VLOOKUP(E76,CountryMapTable[#All],2,FALSE)</f>
        <v>China</v>
      </c>
      <c r="L76" s="7">
        <f t="shared" si="4"/>
        <v>2025</v>
      </c>
      <c r="M76" s="7">
        <f t="shared" si="5"/>
        <v>9</v>
      </c>
      <c r="N76" s="12">
        <f>IFERROR(WorkAreaTable[[#This Row],[Import Value (USD)]]/WorkAreaTable[[#This Row],[Quantity (KG)]],0)</f>
        <v>32.166451612903224</v>
      </c>
      <c r="O76" s="16" t="str">
        <f>IF(COUNTIF(A:A, A76)&gt;1, "Duplicate ID", IF(H76=0, "Quantity 0", IF(ISNA(VLOOKUP(C76, Master_Importer!$A:$B, 2, FALSE)), "Unmapped Importer", "OK")))</f>
        <v>OK</v>
      </c>
      <c r="P76" s="18"/>
      <c r="Q76" s="18"/>
    </row>
    <row r="77" spans="1:17">
      <c r="A77" t="s">
        <v>138</v>
      </c>
      <c r="B77" s="3">
        <v>45736</v>
      </c>
      <c r="C77" t="s">
        <v>31</v>
      </c>
      <c r="D77" t="s">
        <v>49</v>
      </c>
      <c r="E77" t="s">
        <v>50</v>
      </c>
      <c r="F77" t="s">
        <v>32</v>
      </c>
      <c r="G77" t="s">
        <v>33</v>
      </c>
      <c r="H77" s="4">
        <v>920</v>
      </c>
      <c r="I77" s="5">
        <v>48085.78</v>
      </c>
      <c r="J77" s="7" t="str">
        <f>IFERROR(VLOOKUP(C77, Master_Importer!$A:$B, 2, FALSE), "Unmapped Importer")</f>
        <v>PT Fajar Knitting</v>
      </c>
      <c r="K77" s="7" t="str">
        <f>VLOOKUP(E77,CountryMapTable[#All],2,FALSE)</f>
        <v>China</v>
      </c>
      <c r="L77" s="7">
        <f t="shared" si="4"/>
        <v>2025</v>
      </c>
      <c r="M77" s="7">
        <f t="shared" si="5"/>
        <v>3</v>
      </c>
      <c r="N77" s="12">
        <f>IFERROR(WorkAreaTable[[#This Row],[Import Value (USD)]]/WorkAreaTable[[#This Row],[Quantity (KG)]],0)</f>
        <v>52.26715217391304</v>
      </c>
      <c r="O77" s="16" t="str">
        <f>IF(COUNTIF(A:A, A77)&gt;1, "Duplicate ID", IF(H77=0, "Quantity 0", IF(ISNA(VLOOKUP(C77, Master_Importer!$A:$B, 2, FALSE)), "Unmapped Importer", "OK")))</f>
        <v>OK</v>
      </c>
      <c r="P77" s="18"/>
      <c r="Q77" s="18"/>
    </row>
    <row r="78" spans="1:17">
      <c r="A78" t="s">
        <v>139</v>
      </c>
      <c r="B78" s="3">
        <v>45711</v>
      </c>
      <c r="C78" t="s">
        <v>48</v>
      </c>
      <c r="D78" t="s">
        <v>91</v>
      </c>
      <c r="E78" t="s">
        <v>60</v>
      </c>
      <c r="F78" t="s">
        <v>45</v>
      </c>
      <c r="G78" t="s">
        <v>46</v>
      </c>
      <c r="H78" s="4">
        <v>487</v>
      </c>
      <c r="I78" s="5">
        <v>13262.26</v>
      </c>
      <c r="J78" s="7" t="str">
        <f>IFERROR(VLOOKUP(C78, Master_Importer!$A:$B, 2, FALSE), "Unmapped Importer")</f>
        <v>PT Harmoni Spinning</v>
      </c>
      <c r="K78" s="7" t="str">
        <f>VLOOKUP(E78,CountryMapTable[#All],2,FALSE)</f>
        <v>Switzerland</v>
      </c>
      <c r="L78" s="7">
        <f t="shared" si="4"/>
        <v>2025</v>
      </c>
      <c r="M78" s="7">
        <f t="shared" si="5"/>
        <v>2</v>
      </c>
      <c r="N78" s="12">
        <f>IFERROR(WorkAreaTable[[#This Row],[Import Value (USD)]]/WorkAreaTable[[#This Row],[Quantity (KG)]],0)</f>
        <v>27.232566735112936</v>
      </c>
      <c r="O78" s="16" t="str">
        <f>IF(COUNTIF(A:A, A78)&gt;1, "Duplicate ID", IF(H78=0, "Quantity 0", IF(ISNA(VLOOKUP(C78, Master_Importer!$A:$B, 2, FALSE)), "Unmapped Importer", "OK")))</f>
        <v>OK</v>
      </c>
      <c r="P78" s="18"/>
      <c r="Q78" s="18"/>
    </row>
    <row r="79" spans="1:17">
      <c r="A79" t="s">
        <v>140</v>
      </c>
      <c r="B79" s="3">
        <v>45990</v>
      </c>
      <c r="C79" t="s">
        <v>69</v>
      </c>
      <c r="D79" t="s">
        <v>22</v>
      </c>
      <c r="E79" t="s">
        <v>23</v>
      </c>
      <c r="F79" t="s">
        <v>45</v>
      </c>
      <c r="G79" t="s">
        <v>46</v>
      </c>
      <c r="H79" s="4">
        <v>2883</v>
      </c>
      <c r="I79" s="5">
        <v>83160.990000000005</v>
      </c>
      <c r="J79" s="7" t="str">
        <f>IFERROR(VLOOKUP(C79, Master_Importer!$A:$B, 2, FALSE), "Unmapped Importer")</f>
        <v>PT Harmoni Spinning</v>
      </c>
      <c r="K79" s="7" t="str">
        <f>VLOOKUP(E79,CountryMapTable[#All],2,FALSE)</f>
        <v>India</v>
      </c>
      <c r="L79" s="7">
        <f t="shared" si="4"/>
        <v>2025</v>
      </c>
      <c r="M79" s="7">
        <f t="shared" si="5"/>
        <v>11</v>
      </c>
      <c r="N79" s="12">
        <f>IFERROR(WorkAreaTable[[#This Row],[Import Value (USD)]]/WorkAreaTable[[#This Row],[Quantity (KG)]],0)</f>
        <v>28.845296566077003</v>
      </c>
      <c r="O79" s="16" t="str">
        <f>IF(COUNTIF(A:A, A79)&gt;1, "Duplicate ID", IF(H79=0, "Quantity 0", IF(ISNA(VLOOKUP(C79, Master_Importer!$A:$B, 2, FALSE)), "Unmapped Importer", "OK")))</f>
        <v>OK</v>
      </c>
      <c r="P79" s="18"/>
      <c r="Q79" s="18"/>
    </row>
    <row r="80" spans="1:17">
      <c r="A80" t="s">
        <v>141</v>
      </c>
      <c r="B80" s="3">
        <v>45913</v>
      </c>
      <c r="C80" t="s">
        <v>112</v>
      </c>
      <c r="D80" t="s">
        <v>11</v>
      </c>
      <c r="E80" t="s">
        <v>12</v>
      </c>
      <c r="F80" t="s">
        <v>18</v>
      </c>
      <c r="G80" t="s">
        <v>19</v>
      </c>
      <c r="H80" s="4">
        <v>1270</v>
      </c>
      <c r="I80" s="5">
        <v>85152.6</v>
      </c>
      <c r="J80" s="7" t="str">
        <f>IFERROR(VLOOKUP(C80, Master_Importer!$A:$B, 2, FALSE), "Unmapped Importer")</f>
        <v>PT Citra Spinning</v>
      </c>
      <c r="K80" s="7" t="str">
        <f>VLOOKUP(E80,CountryMapTable[#All],2,FALSE)</f>
        <v>Japan</v>
      </c>
      <c r="L80" s="7">
        <f t="shared" si="4"/>
        <v>2025</v>
      </c>
      <c r="M80" s="7">
        <f t="shared" si="5"/>
        <v>9</v>
      </c>
      <c r="N80" s="12">
        <f>IFERROR(WorkAreaTable[[#This Row],[Import Value (USD)]]/WorkAreaTable[[#This Row],[Quantity (KG)]],0)</f>
        <v>67.049291338582677</v>
      </c>
      <c r="O80" s="16" t="str">
        <f>IF(COUNTIF(A:A, A80)&gt;1, "Duplicate ID", IF(H80=0, "Quantity 0", IF(ISNA(VLOOKUP(C80, Master_Importer!$A:$B, 2, FALSE)), "Unmapped Importer", "OK")))</f>
        <v>OK</v>
      </c>
      <c r="P80" s="18"/>
      <c r="Q80" s="18"/>
    </row>
    <row r="81" spans="1:17">
      <c r="A81" t="s">
        <v>142</v>
      </c>
      <c r="B81" s="3">
        <v>45775</v>
      </c>
      <c r="C81" t="s">
        <v>75</v>
      </c>
      <c r="D81" t="s">
        <v>59</v>
      </c>
      <c r="E81" t="s">
        <v>60</v>
      </c>
      <c r="F81" t="s">
        <v>41</v>
      </c>
      <c r="G81" t="s">
        <v>42</v>
      </c>
      <c r="H81" s="4">
        <v>951</v>
      </c>
      <c r="I81" s="5">
        <v>38627.82</v>
      </c>
      <c r="J81" s="7" t="str">
        <f>IFERROR(VLOOKUP(C81, Master_Importer!$A:$B, 2, FALSE), "Unmapped Importer")</f>
        <v>PT Daya Fabrics</v>
      </c>
      <c r="K81" s="7" t="str">
        <f>VLOOKUP(E81,CountryMapTable[#All],2,FALSE)</f>
        <v>Switzerland</v>
      </c>
      <c r="L81" s="7">
        <f t="shared" si="4"/>
        <v>2025</v>
      </c>
      <c r="M81" s="7">
        <f t="shared" si="5"/>
        <v>4</v>
      </c>
      <c r="N81" s="12">
        <f>IFERROR(WorkAreaTable[[#This Row],[Import Value (USD)]]/WorkAreaTable[[#This Row],[Quantity (KG)]],0)</f>
        <v>40.618107255520506</v>
      </c>
      <c r="O81" s="16" t="str">
        <f>IF(COUNTIF(A:A, A81)&gt;1, "Duplicate ID", IF(H81=0, "Quantity 0", IF(ISNA(VLOOKUP(C81, Master_Importer!$A:$B, 2, FALSE)), "Unmapped Importer", "OK")))</f>
        <v>OK</v>
      </c>
      <c r="P81" s="18"/>
      <c r="Q81" s="18"/>
    </row>
    <row r="82" spans="1:17">
      <c r="A82" t="s">
        <v>143</v>
      </c>
      <c r="B82" s="3">
        <v>45892</v>
      </c>
      <c r="C82" t="s">
        <v>106</v>
      </c>
      <c r="D82" t="s">
        <v>67</v>
      </c>
      <c r="E82" t="s">
        <v>50</v>
      </c>
      <c r="F82" t="s">
        <v>32</v>
      </c>
      <c r="G82" t="s">
        <v>33</v>
      </c>
      <c r="H82" s="4">
        <v>1051</v>
      </c>
      <c r="I82" s="5">
        <v>57939.45</v>
      </c>
      <c r="J82" s="7" t="str">
        <f>IFERROR(VLOOKUP(C82, Master_Importer!$A:$B, 2, FALSE), "Unmapped Importer")</f>
        <v>PT Bintang Weaving</v>
      </c>
      <c r="K82" s="7" t="str">
        <f>VLOOKUP(E82,CountryMapTable[#All],2,FALSE)</f>
        <v>China</v>
      </c>
      <c r="L82" s="7">
        <f t="shared" si="4"/>
        <v>2025</v>
      </c>
      <c r="M82" s="7">
        <f t="shared" si="5"/>
        <v>8</v>
      </c>
      <c r="N82" s="12">
        <f>IFERROR(WorkAreaTable[[#This Row],[Import Value (USD)]]/WorkAreaTable[[#This Row],[Quantity (KG)]],0)</f>
        <v>55.127925784966699</v>
      </c>
      <c r="O82" s="16" t="str">
        <f>IF(COUNTIF(A:A, A82)&gt;1, "Duplicate ID", IF(H82=0, "Quantity 0", IF(ISNA(VLOOKUP(C82, Master_Importer!$A:$B, 2, FALSE)), "Unmapped Importer", "OK")))</f>
        <v>OK</v>
      </c>
      <c r="P82" s="18"/>
      <c r="Q82" s="18"/>
    </row>
    <row r="83" spans="1:17">
      <c r="A83" t="s">
        <v>144</v>
      </c>
      <c r="B83" s="3">
        <v>45967</v>
      </c>
      <c r="C83" t="s">
        <v>10</v>
      </c>
      <c r="D83" t="s">
        <v>91</v>
      </c>
      <c r="E83" t="s">
        <v>60</v>
      </c>
      <c r="F83" t="s">
        <v>13</v>
      </c>
      <c r="G83" t="s">
        <v>14</v>
      </c>
      <c r="H83" s="4">
        <v>1909</v>
      </c>
      <c r="I83" s="5">
        <v>130713.06</v>
      </c>
      <c r="J83" s="7" t="str">
        <f>IFERROR(VLOOKUP(C83, Master_Importer!$A:$B, 2, FALSE), "Unmapped Importer")</f>
        <v>PT Daya Fabrics</v>
      </c>
      <c r="K83" s="7" t="str">
        <f>VLOOKUP(E83,CountryMapTable[#All],2,FALSE)</f>
        <v>Switzerland</v>
      </c>
      <c r="L83" s="7">
        <f t="shared" si="4"/>
        <v>2025</v>
      </c>
      <c r="M83" s="7">
        <f t="shared" si="5"/>
        <v>11</v>
      </c>
      <c r="N83" s="12">
        <f>IFERROR(WorkAreaTable[[#This Row],[Import Value (USD)]]/WorkAreaTable[[#This Row],[Quantity (KG)]],0)</f>
        <v>68.472006286013624</v>
      </c>
      <c r="O83" s="16" t="str">
        <f>IF(COUNTIF(A:A, A83)&gt;1, "Duplicate ID", IF(H83=0, "Quantity 0", IF(ISNA(VLOOKUP(C83, Master_Importer!$A:$B, 2, FALSE)), "Unmapped Importer", "OK")))</f>
        <v>OK</v>
      </c>
      <c r="P83" s="18"/>
      <c r="Q83" s="18"/>
    </row>
    <row r="84" spans="1:17">
      <c r="A84" t="s">
        <v>145</v>
      </c>
      <c r="B84" s="3">
        <v>45693</v>
      </c>
      <c r="C84" t="s">
        <v>146</v>
      </c>
      <c r="D84" t="s">
        <v>36</v>
      </c>
      <c r="E84" t="s">
        <v>37</v>
      </c>
      <c r="F84" t="s">
        <v>45</v>
      </c>
      <c r="G84" t="s">
        <v>46</v>
      </c>
      <c r="H84" s="4">
        <v>935</v>
      </c>
      <c r="I84" s="5">
        <v>35093.07</v>
      </c>
      <c r="J84" s="7" t="str">
        <f>IFERROR(VLOOKUP(C84, Master_Importer!$A:$B, 2, FALSE), "Unmapped Importer")</f>
        <v>PT Jaya Textile</v>
      </c>
      <c r="K84" s="7" t="str">
        <f>VLOOKUP(E84,CountryMapTable[#All],2,FALSE)</f>
        <v>Türkiye</v>
      </c>
      <c r="L84" s="7">
        <f t="shared" si="4"/>
        <v>2025</v>
      </c>
      <c r="M84" s="7">
        <f t="shared" si="5"/>
        <v>2</v>
      </c>
      <c r="N84" s="12">
        <f>IFERROR(WorkAreaTable[[#This Row],[Import Value (USD)]]/WorkAreaTable[[#This Row],[Quantity (KG)]],0)</f>
        <v>37.532695187165778</v>
      </c>
      <c r="O84" s="16" t="str">
        <f>IF(COUNTIF(A:A, A84)&gt;1, "Duplicate ID", IF(H84=0, "Quantity 0", IF(ISNA(VLOOKUP(C84, Master_Importer!$A:$B, 2, FALSE)), "Unmapped Importer", "OK")))</f>
        <v>OK</v>
      </c>
      <c r="P84" s="18"/>
      <c r="Q84" s="18"/>
    </row>
    <row r="85" spans="1:17">
      <c r="A85" t="s">
        <v>147</v>
      </c>
      <c r="B85" s="3">
        <v>45835</v>
      </c>
      <c r="C85" t="s">
        <v>25</v>
      </c>
      <c r="D85" t="s">
        <v>17</v>
      </c>
      <c r="E85" t="s">
        <v>12</v>
      </c>
      <c r="F85" t="s">
        <v>18</v>
      </c>
      <c r="G85" t="s">
        <v>19</v>
      </c>
      <c r="H85" s="4">
        <v>2091</v>
      </c>
      <c r="I85" s="5">
        <v>101627.35</v>
      </c>
      <c r="J85" s="7" t="str">
        <f>IFERROR(VLOOKUP(C85, Master_Importer!$A:$B, 2, FALSE), "Unmapped Importer")</f>
        <v>PT Aruna Textile</v>
      </c>
      <c r="K85" s="7" t="str">
        <f>VLOOKUP(E85,CountryMapTable[#All],2,FALSE)</f>
        <v>Japan</v>
      </c>
      <c r="L85" s="7">
        <f t="shared" si="4"/>
        <v>2025</v>
      </c>
      <c r="M85" s="7">
        <f t="shared" si="5"/>
        <v>6</v>
      </c>
      <c r="N85" s="12">
        <f>IFERROR(WorkAreaTable[[#This Row],[Import Value (USD)]]/WorkAreaTable[[#This Row],[Quantity (KG)]],0)</f>
        <v>48.602271640363462</v>
      </c>
      <c r="O85" s="16" t="str">
        <f>IF(COUNTIF(A:A, A85)&gt;1, "Duplicate ID", IF(H85=0, "Quantity 0", IF(ISNA(VLOOKUP(C85, Master_Importer!$A:$B, 2, FALSE)), "Unmapped Importer", "OK")))</f>
        <v>OK</v>
      </c>
      <c r="P85" s="18"/>
      <c r="Q85" s="18"/>
    </row>
    <row r="86" spans="1:17">
      <c r="A86" t="s">
        <v>148</v>
      </c>
      <c r="B86" s="3">
        <v>45697</v>
      </c>
      <c r="C86" t="s">
        <v>149</v>
      </c>
      <c r="D86" t="s">
        <v>57</v>
      </c>
      <c r="E86" t="s">
        <v>37</v>
      </c>
      <c r="F86" t="s">
        <v>45</v>
      </c>
      <c r="G86" t="s">
        <v>46</v>
      </c>
      <c r="H86" s="4">
        <v>1874</v>
      </c>
      <c r="I86" s="5">
        <v>55722.74</v>
      </c>
      <c r="J86" s="7" t="str">
        <f>IFERROR(VLOOKUP(C86, Master_Importer!$A:$B, 2, FALSE), "Unmapped Importer")</f>
        <v>PT Fajar Knitting</v>
      </c>
      <c r="K86" s="7" t="str">
        <f>VLOOKUP(E86,CountryMapTable[#All],2,FALSE)</f>
        <v>Türkiye</v>
      </c>
      <c r="L86" s="7">
        <f t="shared" si="4"/>
        <v>2025</v>
      </c>
      <c r="M86" s="7">
        <f t="shared" si="5"/>
        <v>2</v>
      </c>
      <c r="N86" s="12">
        <f>IFERROR(WorkAreaTable[[#This Row],[Import Value (USD)]]/WorkAreaTable[[#This Row],[Quantity (KG)]],0)</f>
        <v>29.734653148345782</v>
      </c>
      <c r="O86" s="16" t="str">
        <f>IF(COUNTIF(A:A, A86)&gt;1, "Duplicate ID", IF(H86=0, "Quantity 0", IF(ISNA(VLOOKUP(C86, Master_Importer!$A:$B, 2, FALSE)), "Unmapped Importer", "OK")))</f>
        <v>OK</v>
      </c>
      <c r="P86" s="18"/>
      <c r="Q86" s="18"/>
    </row>
    <row r="87" spans="1:17">
      <c r="A87" t="s">
        <v>150</v>
      </c>
      <c r="B87" s="3">
        <v>45756</v>
      </c>
      <c r="C87" t="s">
        <v>75</v>
      </c>
      <c r="D87" t="s">
        <v>40</v>
      </c>
      <c r="E87" t="s">
        <v>23</v>
      </c>
      <c r="F87" t="s">
        <v>45</v>
      </c>
      <c r="G87" t="s">
        <v>46</v>
      </c>
      <c r="H87" s="4">
        <v>1078</v>
      </c>
      <c r="I87" s="5">
        <v>23006.43</v>
      </c>
      <c r="J87" s="7" t="str">
        <f>IFERROR(VLOOKUP(C87, Master_Importer!$A:$B, 2, FALSE), "Unmapped Importer")</f>
        <v>PT Daya Fabrics</v>
      </c>
      <c r="K87" s="7" t="str">
        <f>VLOOKUP(E87,CountryMapTable[#All],2,FALSE)</f>
        <v>India</v>
      </c>
      <c r="L87" s="7">
        <f t="shared" si="4"/>
        <v>2025</v>
      </c>
      <c r="M87" s="7">
        <f t="shared" si="5"/>
        <v>4</v>
      </c>
      <c r="N87" s="12">
        <f>IFERROR(WorkAreaTable[[#This Row],[Import Value (USD)]]/WorkAreaTable[[#This Row],[Quantity (KG)]],0)</f>
        <v>21.341771799628944</v>
      </c>
      <c r="O87" s="16" t="str">
        <f>IF(COUNTIF(A:A, A87)&gt;1, "Duplicate ID", IF(H87=0, "Quantity 0", IF(ISNA(VLOOKUP(C87, Master_Importer!$A:$B, 2, FALSE)), "Unmapped Importer", "OK")))</f>
        <v>OK</v>
      </c>
      <c r="P87" s="18"/>
      <c r="Q87" s="18"/>
    </row>
    <row r="88" spans="1:17">
      <c r="A88" t="s">
        <v>151</v>
      </c>
      <c r="B88" s="3">
        <v>45683</v>
      </c>
      <c r="C88" t="s">
        <v>78</v>
      </c>
      <c r="D88" t="s">
        <v>17</v>
      </c>
      <c r="E88" t="s">
        <v>12</v>
      </c>
      <c r="F88" t="s">
        <v>41</v>
      </c>
      <c r="G88" t="s">
        <v>42</v>
      </c>
      <c r="H88" s="4">
        <v>745</v>
      </c>
      <c r="I88" s="5">
        <v>29557.279999999999</v>
      </c>
      <c r="J88" s="7" t="str">
        <f>IFERROR(VLOOKUP(C88, Master_Importer!$A:$B, 2, FALSE), "Unmapped Importer")</f>
        <v>PT Aruna Textile</v>
      </c>
      <c r="K88" s="7" t="str">
        <f>VLOOKUP(E88,CountryMapTable[#All],2,FALSE)</f>
        <v>Japan</v>
      </c>
      <c r="L88" s="7">
        <f t="shared" si="4"/>
        <v>2025</v>
      </c>
      <c r="M88" s="7">
        <f t="shared" si="5"/>
        <v>1</v>
      </c>
      <c r="N88" s="12">
        <f>IFERROR(WorkAreaTable[[#This Row],[Import Value (USD)]]/WorkAreaTable[[#This Row],[Quantity (KG)]],0)</f>
        <v>39.674201342281876</v>
      </c>
      <c r="O88" s="16" t="str">
        <f>IF(COUNTIF(A:A, A88)&gt;1, "Duplicate ID", IF(H88=0, "Quantity 0", IF(ISNA(VLOOKUP(C88, Master_Importer!$A:$B, 2, FALSE)), "Unmapped Importer", "OK")))</f>
        <v>OK</v>
      </c>
      <c r="P88" s="18"/>
      <c r="Q88" s="18"/>
    </row>
    <row r="89" spans="1:17">
      <c r="A89" t="s">
        <v>152</v>
      </c>
      <c r="B89" s="3">
        <v>45865</v>
      </c>
      <c r="C89" t="s">
        <v>87</v>
      </c>
      <c r="D89" t="s">
        <v>59</v>
      </c>
      <c r="E89" t="s">
        <v>60</v>
      </c>
      <c r="F89" t="s">
        <v>13</v>
      </c>
      <c r="G89" t="s">
        <v>14</v>
      </c>
      <c r="H89" s="4">
        <v>1212</v>
      </c>
      <c r="I89" s="5">
        <v>91137.23</v>
      </c>
      <c r="J89" s="7" t="str">
        <f>IFERROR(VLOOKUP(C89, Master_Importer!$A:$B, 2, FALSE), "Unmapped Importer")</f>
        <v>PT Citra Spinning</v>
      </c>
      <c r="K89" s="7" t="str">
        <f>VLOOKUP(E89,CountryMapTable[#All],2,FALSE)</f>
        <v>Switzerland</v>
      </c>
      <c r="L89" s="7">
        <f t="shared" si="4"/>
        <v>2025</v>
      </c>
      <c r="M89" s="7">
        <f t="shared" si="5"/>
        <v>7</v>
      </c>
      <c r="N89" s="12">
        <f>IFERROR(WorkAreaTable[[#This Row],[Import Value (USD)]]/WorkAreaTable[[#This Row],[Quantity (KG)]],0)</f>
        <v>75.195734323432333</v>
      </c>
      <c r="O89" s="16" t="str">
        <f>IF(COUNTIF(A:A, A89)&gt;1, "Duplicate ID", IF(H89=0, "Quantity 0", IF(ISNA(VLOOKUP(C89, Master_Importer!$A:$B, 2, FALSE)), "Unmapped Importer", "OK")))</f>
        <v>OK</v>
      </c>
      <c r="P89" s="18"/>
      <c r="Q89" s="18"/>
    </row>
    <row r="90" spans="1:17">
      <c r="A90" t="s">
        <v>153</v>
      </c>
      <c r="B90" s="3">
        <v>45980</v>
      </c>
      <c r="C90" t="s">
        <v>56</v>
      </c>
      <c r="D90" t="s">
        <v>65</v>
      </c>
      <c r="E90" t="s">
        <v>29</v>
      </c>
      <c r="F90" t="s">
        <v>13</v>
      </c>
      <c r="G90" t="s">
        <v>14</v>
      </c>
      <c r="H90" s="4">
        <v>2501</v>
      </c>
      <c r="I90" s="5">
        <v>193018.12</v>
      </c>
      <c r="J90" s="7" t="str">
        <f>IFERROR(VLOOKUP(C90, Master_Importer!$A:$B, 2, FALSE), "Unmapped Importer")</f>
        <v>PT Eka Textile</v>
      </c>
      <c r="K90" s="7" t="str">
        <f>VLOOKUP(E90,CountryMapTable[#All],2,FALSE)</f>
        <v>Germany</v>
      </c>
      <c r="L90" s="7">
        <f t="shared" si="4"/>
        <v>2025</v>
      </c>
      <c r="M90" s="7">
        <f t="shared" si="5"/>
        <v>11</v>
      </c>
      <c r="N90" s="12">
        <f>IFERROR(WorkAreaTable[[#This Row],[Import Value (USD)]]/WorkAreaTable[[#This Row],[Quantity (KG)]],0)</f>
        <v>77.176377449020393</v>
      </c>
      <c r="O90" s="16" t="str">
        <f>IF(COUNTIF(A:A, A90)&gt;1, "Duplicate ID", IF(H90=0, "Quantity 0", IF(ISNA(VLOOKUP(C90, Master_Importer!$A:$B, 2, FALSE)), "Unmapped Importer", "OK")))</f>
        <v>OK</v>
      </c>
      <c r="P90" s="18"/>
      <c r="Q90" s="18"/>
    </row>
    <row r="91" spans="1:17">
      <c r="A91" t="s">
        <v>154</v>
      </c>
      <c r="B91" s="3">
        <v>45925</v>
      </c>
      <c r="C91" t="s">
        <v>78</v>
      </c>
      <c r="D91" t="s">
        <v>67</v>
      </c>
      <c r="E91" t="s">
        <v>50</v>
      </c>
      <c r="F91" t="s">
        <v>41</v>
      </c>
      <c r="G91" t="s">
        <v>42</v>
      </c>
      <c r="H91" s="4">
        <v>1700</v>
      </c>
      <c r="I91" s="5">
        <v>63184.52</v>
      </c>
      <c r="J91" s="7" t="str">
        <f>IFERROR(VLOOKUP(C91, Master_Importer!$A:$B, 2, FALSE), "Unmapped Importer")</f>
        <v>PT Aruna Textile</v>
      </c>
      <c r="K91" s="7" t="str">
        <f>VLOOKUP(E91,CountryMapTable[#All],2,FALSE)</f>
        <v>China</v>
      </c>
      <c r="L91" s="7">
        <f t="shared" si="4"/>
        <v>2025</v>
      </c>
      <c r="M91" s="7">
        <f t="shared" si="5"/>
        <v>9</v>
      </c>
      <c r="N91" s="12">
        <f>IFERROR(WorkAreaTable[[#This Row],[Import Value (USD)]]/WorkAreaTable[[#This Row],[Quantity (KG)]],0)</f>
        <v>37.167364705882349</v>
      </c>
      <c r="O91" s="16" t="str">
        <f>IF(COUNTIF(A:A, A91)&gt;1, "Duplicate ID", IF(H91=0, "Quantity 0", IF(ISNA(VLOOKUP(C91, Master_Importer!$A:$B, 2, FALSE)), "Unmapped Importer", "OK")))</f>
        <v>OK</v>
      </c>
      <c r="P91" s="18"/>
      <c r="Q91" s="18"/>
    </row>
    <row r="92" spans="1:17">
      <c r="A92" t="s">
        <v>155</v>
      </c>
      <c r="B92" s="3">
        <v>45664</v>
      </c>
      <c r="C92" t="s">
        <v>75</v>
      </c>
      <c r="D92" t="s">
        <v>49</v>
      </c>
      <c r="E92" t="s">
        <v>50</v>
      </c>
      <c r="F92" t="s">
        <v>13</v>
      </c>
      <c r="G92" t="s">
        <v>14</v>
      </c>
      <c r="H92" s="4">
        <v>1490</v>
      </c>
      <c r="I92" s="5">
        <v>112875.01</v>
      </c>
      <c r="J92" s="7" t="str">
        <f>IFERROR(VLOOKUP(C92, Master_Importer!$A:$B, 2, FALSE), "Unmapped Importer")</f>
        <v>PT Daya Fabrics</v>
      </c>
      <c r="K92" s="7" t="str">
        <f>VLOOKUP(E92,CountryMapTable[#All],2,FALSE)</f>
        <v>China</v>
      </c>
      <c r="L92" s="7">
        <f t="shared" si="4"/>
        <v>2025</v>
      </c>
      <c r="M92" s="7">
        <f t="shared" si="5"/>
        <v>1</v>
      </c>
      <c r="N92" s="12">
        <f>IFERROR(WorkAreaTable[[#This Row],[Import Value (USD)]]/WorkAreaTable[[#This Row],[Quantity (KG)]],0)</f>
        <v>75.755040268456369</v>
      </c>
      <c r="O92" s="16" t="str">
        <f>IF(COUNTIF(A:A, A92)&gt;1, "Duplicate ID", IF(H92=0, "Quantity 0", IF(ISNA(VLOOKUP(C92, Master_Importer!$A:$B, 2, FALSE)), "Unmapped Importer", "OK")))</f>
        <v>OK</v>
      </c>
      <c r="P92" s="18"/>
      <c r="Q92" s="18"/>
    </row>
    <row r="93" spans="1:17">
      <c r="A93" t="s">
        <v>156</v>
      </c>
      <c r="B93" s="3">
        <v>45859</v>
      </c>
      <c r="C93" t="s">
        <v>106</v>
      </c>
      <c r="D93" t="s">
        <v>67</v>
      </c>
      <c r="E93" t="s">
        <v>50</v>
      </c>
      <c r="F93" t="s">
        <v>41</v>
      </c>
      <c r="G93" t="s">
        <v>42</v>
      </c>
      <c r="H93" s="4">
        <v>1131</v>
      </c>
      <c r="I93" s="5">
        <v>49531.08</v>
      </c>
      <c r="J93" s="7" t="str">
        <f>IFERROR(VLOOKUP(C93, Master_Importer!$A:$B, 2, FALSE), "Unmapped Importer")</f>
        <v>PT Bintang Weaving</v>
      </c>
      <c r="K93" s="7" t="str">
        <f>VLOOKUP(E93,CountryMapTable[#All],2,FALSE)</f>
        <v>China</v>
      </c>
      <c r="L93" s="7">
        <f t="shared" si="4"/>
        <v>2025</v>
      </c>
      <c r="M93" s="7">
        <f t="shared" si="5"/>
        <v>7</v>
      </c>
      <c r="N93" s="12">
        <f>IFERROR(WorkAreaTable[[#This Row],[Import Value (USD)]]/WorkAreaTable[[#This Row],[Quantity (KG)]],0)</f>
        <v>43.79405835543767</v>
      </c>
      <c r="O93" s="16" t="str">
        <f>IF(COUNTIF(A:A, A93)&gt;1, "Duplicate ID", IF(H93=0, "Quantity 0", IF(ISNA(VLOOKUP(C93, Master_Importer!$A:$B, 2, FALSE)), "Unmapped Importer", "OK")))</f>
        <v>OK</v>
      </c>
      <c r="P93" s="18"/>
      <c r="Q93" s="18"/>
    </row>
    <row r="94" spans="1:17">
      <c r="A94" t="s">
        <v>157</v>
      </c>
      <c r="B94" s="3">
        <v>45738</v>
      </c>
      <c r="C94" t="s">
        <v>78</v>
      </c>
      <c r="D94" t="s">
        <v>40</v>
      </c>
      <c r="E94" t="s">
        <v>23</v>
      </c>
      <c r="F94" t="s">
        <v>45</v>
      </c>
      <c r="G94" t="s">
        <v>46</v>
      </c>
      <c r="H94" s="4">
        <v>2575</v>
      </c>
      <c r="I94" s="5">
        <v>81975.839999999997</v>
      </c>
      <c r="J94" s="7" t="str">
        <f>IFERROR(VLOOKUP(C94, Master_Importer!$A:$B, 2, FALSE), "Unmapped Importer")</f>
        <v>PT Aruna Textile</v>
      </c>
      <c r="K94" s="7" t="str">
        <f>VLOOKUP(E94,CountryMapTable[#All],2,FALSE)</f>
        <v>India</v>
      </c>
      <c r="L94" s="7">
        <f t="shared" si="4"/>
        <v>2025</v>
      </c>
      <c r="M94" s="7">
        <f t="shared" si="5"/>
        <v>3</v>
      </c>
      <c r="N94" s="12">
        <f>IFERROR(WorkAreaTable[[#This Row],[Import Value (USD)]]/WorkAreaTable[[#This Row],[Quantity (KG)]],0)</f>
        <v>31.835277669902911</v>
      </c>
      <c r="O94" s="16" t="str">
        <f>IF(COUNTIF(A:A, A94)&gt;1, "Duplicate ID", IF(H94=0, "Quantity 0", IF(ISNA(VLOOKUP(C94, Master_Importer!$A:$B, 2, FALSE)), "Unmapped Importer", "OK")))</f>
        <v>OK</v>
      </c>
      <c r="P94" s="18"/>
      <c r="Q94" s="18"/>
    </row>
    <row r="95" spans="1:17">
      <c r="A95" t="s">
        <v>158</v>
      </c>
      <c r="B95" s="3">
        <v>45780</v>
      </c>
      <c r="C95" t="s">
        <v>106</v>
      </c>
      <c r="D95" t="s">
        <v>40</v>
      </c>
      <c r="E95" t="s">
        <v>23</v>
      </c>
      <c r="F95" t="s">
        <v>45</v>
      </c>
      <c r="G95" t="s">
        <v>46</v>
      </c>
      <c r="H95" s="4">
        <v>1904</v>
      </c>
      <c r="I95" s="5">
        <v>65129</v>
      </c>
      <c r="J95" s="7" t="str">
        <f>IFERROR(VLOOKUP(C95, Master_Importer!$A:$B, 2, FALSE), "Unmapped Importer")</f>
        <v>PT Bintang Weaving</v>
      </c>
      <c r="K95" s="7" t="str">
        <f>VLOOKUP(E95,CountryMapTable[#All],2,FALSE)</f>
        <v>India</v>
      </c>
      <c r="L95" s="7">
        <f t="shared" si="4"/>
        <v>2025</v>
      </c>
      <c r="M95" s="7">
        <f t="shared" si="5"/>
        <v>5</v>
      </c>
      <c r="N95" s="12">
        <f>IFERROR(WorkAreaTable[[#This Row],[Import Value (USD)]]/WorkAreaTable[[#This Row],[Quantity (KG)]],0)</f>
        <v>34.206407563025209</v>
      </c>
      <c r="O95" s="16" t="str">
        <f>IF(COUNTIF(A:A, A95)&gt;1, "Duplicate ID", IF(H95=0, "Quantity 0", IF(ISNA(VLOOKUP(C95, Master_Importer!$A:$B, 2, FALSE)), "Unmapped Importer", "OK")))</f>
        <v>OK</v>
      </c>
      <c r="P95" s="18"/>
      <c r="Q95" s="18"/>
    </row>
    <row r="96" spans="1:17">
      <c r="A96" t="s">
        <v>159</v>
      </c>
      <c r="B96" s="3">
        <v>45714</v>
      </c>
      <c r="C96" t="s">
        <v>63</v>
      </c>
      <c r="D96" t="s">
        <v>59</v>
      </c>
      <c r="E96" t="s">
        <v>60</v>
      </c>
      <c r="F96" t="s">
        <v>18</v>
      </c>
      <c r="G96" t="s">
        <v>19</v>
      </c>
      <c r="H96" s="4">
        <v>922</v>
      </c>
      <c r="I96" s="5">
        <v>46966.69</v>
      </c>
      <c r="J96" s="7" t="str">
        <f>IFERROR(VLOOKUP(C96, Master_Importer!$A:$B, 2, FALSE), "Unmapped Importer")</f>
        <v>PT Indah Weaving</v>
      </c>
      <c r="K96" s="7" t="str">
        <f>VLOOKUP(E96,CountryMapTable[#All],2,FALSE)</f>
        <v>Switzerland</v>
      </c>
      <c r="L96" s="7">
        <f t="shared" si="4"/>
        <v>2025</v>
      </c>
      <c r="M96" s="7">
        <f t="shared" si="5"/>
        <v>2</v>
      </c>
      <c r="N96" s="12">
        <f>IFERROR(WorkAreaTable[[#This Row],[Import Value (USD)]]/WorkAreaTable[[#This Row],[Quantity (KG)]],0)</f>
        <v>50.94001084598699</v>
      </c>
      <c r="O96" s="16" t="str">
        <f>IF(COUNTIF(A:A, A96)&gt;1, "Duplicate ID", IF(H96=0, "Quantity 0", IF(ISNA(VLOOKUP(C96, Master_Importer!$A:$B, 2, FALSE)), "Unmapped Importer", "OK")))</f>
        <v>OK</v>
      </c>
      <c r="P96" s="18"/>
      <c r="Q96" s="18"/>
    </row>
    <row r="97" spans="1:17">
      <c r="A97" t="s">
        <v>160</v>
      </c>
      <c r="B97" s="3">
        <v>45952</v>
      </c>
      <c r="C97" t="s">
        <v>146</v>
      </c>
      <c r="D97" t="s">
        <v>57</v>
      </c>
      <c r="E97" t="s">
        <v>37</v>
      </c>
      <c r="F97" t="s">
        <v>41</v>
      </c>
      <c r="G97" t="s">
        <v>42</v>
      </c>
      <c r="H97" s="4">
        <v>2256</v>
      </c>
      <c r="I97" s="5">
        <v>67602.210000000006</v>
      </c>
      <c r="J97" s="7" t="str">
        <f>IFERROR(VLOOKUP(C97, Master_Importer!$A:$B, 2, FALSE), "Unmapped Importer")</f>
        <v>PT Jaya Textile</v>
      </c>
      <c r="K97" s="7" t="str">
        <f>VLOOKUP(E97,CountryMapTable[#All],2,FALSE)</f>
        <v>Türkiye</v>
      </c>
      <c r="L97" s="7">
        <f t="shared" si="4"/>
        <v>2025</v>
      </c>
      <c r="M97" s="7">
        <f t="shared" si="5"/>
        <v>10</v>
      </c>
      <c r="N97" s="12">
        <f>IFERROR(WorkAreaTable[[#This Row],[Import Value (USD)]]/WorkAreaTable[[#This Row],[Quantity (KG)]],0)</f>
        <v>29.965518617021278</v>
      </c>
      <c r="O97" s="16" t="str">
        <f>IF(COUNTIF(A:A, A97)&gt;1, "Duplicate ID", IF(H97=0, "Quantity 0", IF(ISNA(VLOOKUP(C97, Master_Importer!$A:$B, 2, FALSE)), "Unmapped Importer", "OK")))</f>
        <v>OK</v>
      </c>
      <c r="P97" s="18"/>
      <c r="Q97" s="18"/>
    </row>
    <row r="98" spans="1:17">
      <c r="A98" t="s">
        <v>161</v>
      </c>
      <c r="B98" s="3">
        <v>45944</v>
      </c>
      <c r="C98" t="s">
        <v>112</v>
      </c>
      <c r="D98" t="s">
        <v>17</v>
      </c>
      <c r="E98" t="s">
        <v>12</v>
      </c>
      <c r="F98" t="s">
        <v>13</v>
      </c>
      <c r="G98" t="s">
        <v>14</v>
      </c>
      <c r="H98" s="4">
        <v>1373</v>
      </c>
      <c r="I98" s="5">
        <v>106091.96</v>
      </c>
      <c r="J98" s="7" t="str">
        <f>IFERROR(VLOOKUP(C98, Master_Importer!$A:$B, 2, FALSE), "Unmapped Importer")</f>
        <v>PT Citra Spinning</v>
      </c>
      <c r="K98" s="7" t="str">
        <f>VLOOKUP(E98,CountryMapTable[#All],2,FALSE)</f>
        <v>Japan</v>
      </c>
      <c r="L98" s="7">
        <f t="shared" ref="L98:L129" si="6">YEAR(B98)</f>
        <v>2025</v>
      </c>
      <c r="M98" s="7">
        <f t="shared" ref="M98:M129" si="7">MONTH(B98)</f>
        <v>10</v>
      </c>
      <c r="N98" s="12">
        <f>IFERROR(WorkAreaTable[[#This Row],[Import Value (USD)]]/WorkAreaTable[[#This Row],[Quantity (KG)]],0)</f>
        <v>77.270182083029866</v>
      </c>
      <c r="O98" s="16" t="str">
        <f>IF(COUNTIF(A:A, A98)&gt;1, "Duplicate ID", IF(H98=0, "Quantity 0", IF(ISNA(VLOOKUP(C98, Master_Importer!$A:$B, 2, FALSE)), "Unmapped Importer", "OK")))</f>
        <v>Duplicate ID</v>
      </c>
      <c r="P98" s="18"/>
      <c r="Q98" s="18"/>
    </row>
    <row r="99" spans="1:17">
      <c r="A99" t="s">
        <v>162</v>
      </c>
      <c r="B99" s="3">
        <v>45949</v>
      </c>
      <c r="C99" t="s">
        <v>35</v>
      </c>
      <c r="D99" t="s">
        <v>28</v>
      </c>
      <c r="E99" t="s">
        <v>29</v>
      </c>
      <c r="F99" t="s">
        <v>32</v>
      </c>
      <c r="G99" t="s">
        <v>33</v>
      </c>
      <c r="H99" s="4">
        <v>1917</v>
      </c>
      <c r="I99" s="5">
        <v>62059.97</v>
      </c>
      <c r="J99" s="7" t="str">
        <f>IFERROR(VLOOKUP(C99, Master_Importer!$A:$B, 2, FALSE), "Unmapped Importer")</f>
        <v>PT Bintang Weaving</v>
      </c>
      <c r="K99" s="7" t="str">
        <f>VLOOKUP(E99,CountryMapTable[#All],2,FALSE)</f>
        <v>Germany</v>
      </c>
      <c r="L99" s="7">
        <f t="shared" si="6"/>
        <v>2025</v>
      </c>
      <c r="M99" s="7">
        <f t="shared" si="7"/>
        <v>10</v>
      </c>
      <c r="N99" s="12">
        <f>IFERROR(WorkAreaTable[[#This Row],[Import Value (USD)]]/WorkAreaTable[[#This Row],[Quantity (KG)]],0)</f>
        <v>32.373484611371936</v>
      </c>
      <c r="O99" s="16" t="str">
        <f>IF(COUNTIF(A:A, A99)&gt;1, "Duplicate ID", IF(H99=0, "Quantity 0", IF(ISNA(VLOOKUP(C99, Master_Importer!$A:$B, 2, FALSE)), "Unmapped Importer", "OK")))</f>
        <v>OK</v>
      </c>
      <c r="P99" s="18"/>
      <c r="Q99" s="18"/>
    </row>
    <row r="100" spans="1:17">
      <c r="A100" t="s">
        <v>163</v>
      </c>
      <c r="B100" s="3">
        <v>45761</v>
      </c>
      <c r="C100" t="s">
        <v>73</v>
      </c>
      <c r="D100" t="s">
        <v>49</v>
      </c>
      <c r="E100" t="s">
        <v>50</v>
      </c>
      <c r="F100" t="s">
        <v>41</v>
      </c>
      <c r="G100" t="s">
        <v>42</v>
      </c>
      <c r="H100" s="4">
        <v>2018</v>
      </c>
      <c r="I100" s="5">
        <v>82909.31</v>
      </c>
      <c r="J100" s="7" t="str">
        <f>IFERROR(VLOOKUP(C100, Master_Importer!$A:$B, 2, FALSE), "Unmapped Importer")</f>
        <v>PT Gemilang Textile</v>
      </c>
      <c r="K100" s="7" t="str">
        <f>VLOOKUP(E100,CountryMapTable[#All],2,FALSE)</f>
        <v>China</v>
      </c>
      <c r="L100" s="7">
        <f t="shared" si="6"/>
        <v>2025</v>
      </c>
      <c r="M100" s="7">
        <f t="shared" si="7"/>
        <v>4</v>
      </c>
      <c r="N100" s="12">
        <f>IFERROR(WorkAreaTable[[#This Row],[Import Value (USD)]]/WorkAreaTable[[#This Row],[Quantity (KG)]],0)</f>
        <v>41.084890981169472</v>
      </c>
      <c r="O100" s="16" t="str">
        <f>IF(COUNTIF(A:A, A100)&gt;1, "Duplicate ID", IF(H100=0, "Quantity 0", IF(ISNA(VLOOKUP(C100, Master_Importer!$A:$B, 2, FALSE)), "Unmapped Importer", "OK")))</f>
        <v>OK</v>
      </c>
      <c r="P100" s="18"/>
      <c r="Q100" s="18"/>
    </row>
    <row r="101" spans="1:17">
      <c r="A101" t="s">
        <v>164</v>
      </c>
      <c r="B101" s="3">
        <v>45944</v>
      </c>
      <c r="C101" t="s">
        <v>106</v>
      </c>
      <c r="D101" t="s">
        <v>67</v>
      </c>
      <c r="E101" t="s">
        <v>50</v>
      </c>
      <c r="F101" t="s">
        <v>13</v>
      </c>
      <c r="G101" t="s">
        <v>14</v>
      </c>
      <c r="H101" s="4">
        <v>2263</v>
      </c>
      <c r="I101" s="5">
        <v>123688.14</v>
      </c>
      <c r="J101" s="7" t="str">
        <f>IFERROR(VLOOKUP(C101, Master_Importer!$A:$B, 2, FALSE), "Unmapped Importer")</f>
        <v>PT Bintang Weaving</v>
      </c>
      <c r="K101" s="7" t="str">
        <f>VLOOKUP(E101,CountryMapTable[#All],2,FALSE)</f>
        <v>China</v>
      </c>
      <c r="L101" s="7">
        <f t="shared" si="6"/>
        <v>2025</v>
      </c>
      <c r="M101" s="7">
        <f t="shared" si="7"/>
        <v>10</v>
      </c>
      <c r="N101" s="12">
        <f>IFERROR(WorkAreaTable[[#This Row],[Import Value (USD)]]/WorkAreaTable[[#This Row],[Quantity (KG)]],0)</f>
        <v>54.656712328767121</v>
      </c>
      <c r="O101" s="16" t="str">
        <f>IF(COUNTIF(A:A, A101)&gt;1, "Duplicate ID", IF(H101=0, "Quantity 0", IF(ISNA(VLOOKUP(C101, Master_Importer!$A:$B, 2, FALSE)), "Unmapped Importer", "OK")))</f>
        <v>OK</v>
      </c>
      <c r="P101" s="18"/>
      <c r="Q101" s="18"/>
    </row>
    <row r="102" spans="1:17">
      <c r="A102" t="s">
        <v>165</v>
      </c>
      <c r="B102" s="3">
        <v>45945</v>
      </c>
      <c r="C102" t="s">
        <v>25</v>
      </c>
      <c r="D102" t="s">
        <v>11</v>
      </c>
      <c r="E102" t="s">
        <v>12</v>
      </c>
      <c r="F102" t="s">
        <v>45</v>
      </c>
      <c r="G102" t="s">
        <v>46</v>
      </c>
      <c r="H102" s="4">
        <v>763</v>
      </c>
      <c r="I102" s="5">
        <v>25354.5</v>
      </c>
      <c r="J102" s="7" t="str">
        <f>IFERROR(VLOOKUP(C102, Master_Importer!$A:$B, 2, FALSE), "Unmapped Importer")</f>
        <v>PT Aruna Textile</v>
      </c>
      <c r="K102" s="7" t="str">
        <f>VLOOKUP(E102,CountryMapTable[#All],2,FALSE)</f>
        <v>Japan</v>
      </c>
      <c r="L102" s="7">
        <f t="shared" si="6"/>
        <v>2025</v>
      </c>
      <c r="M102" s="7">
        <f t="shared" si="7"/>
        <v>10</v>
      </c>
      <c r="N102" s="12">
        <f>IFERROR(WorkAreaTable[[#This Row],[Import Value (USD)]]/WorkAreaTable[[#This Row],[Quantity (KG)]],0)</f>
        <v>33.230013106159895</v>
      </c>
      <c r="O102" s="16" t="str">
        <f>IF(COUNTIF(A:A, A102)&gt;1, "Duplicate ID", IF(H102=0, "Quantity 0", IF(ISNA(VLOOKUP(C102, Master_Importer!$A:$B, 2, FALSE)), "Unmapped Importer", "OK")))</f>
        <v>OK</v>
      </c>
      <c r="P102" s="18"/>
      <c r="Q102" s="18"/>
    </row>
    <row r="103" spans="1:17">
      <c r="A103" t="s">
        <v>166</v>
      </c>
      <c r="B103" s="3">
        <v>45738</v>
      </c>
      <c r="C103" t="s">
        <v>75</v>
      </c>
      <c r="D103" t="s">
        <v>59</v>
      </c>
      <c r="E103" t="s">
        <v>60</v>
      </c>
      <c r="F103" t="s">
        <v>13</v>
      </c>
      <c r="G103" t="s">
        <v>14</v>
      </c>
      <c r="H103" s="4">
        <v>792</v>
      </c>
      <c r="I103" s="5">
        <v>39021.42</v>
      </c>
      <c r="J103" s="7" t="str">
        <f>IFERROR(VLOOKUP(C103, Master_Importer!$A:$B, 2, FALSE), "Unmapped Importer")</f>
        <v>PT Daya Fabrics</v>
      </c>
      <c r="K103" s="7" t="str">
        <f>VLOOKUP(E103,CountryMapTable[#All],2,FALSE)</f>
        <v>Switzerland</v>
      </c>
      <c r="L103" s="7">
        <f t="shared" si="6"/>
        <v>2025</v>
      </c>
      <c r="M103" s="7">
        <f t="shared" si="7"/>
        <v>3</v>
      </c>
      <c r="N103" s="12">
        <f>IFERROR(WorkAreaTable[[#This Row],[Import Value (USD)]]/WorkAreaTable[[#This Row],[Quantity (KG)]],0)</f>
        <v>49.269469696969693</v>
      </c>
      <c r="O103" s="16" t="str">
        <f>IF(COUNTIF(A:A, A103)&gt;1, "Duplicate ID", IF(H103=0, "Quantity 0", IF(ISNA(VLOOKUP(C103, Master_Importer!$A:$B, 2, FALSE)), "Unmapped Importer", "OK")))</f>
        <v>OK</v>
      </c>
      <c r="P103" s="18"/>
      <c r="Q103" s="18"/>
    </row>
    <row r="104" spans="1:17">
      <c r="A104" t="s">
        <v>167</v>
      </c>
      <c r="B104" s="3">
        <v>45912</v>
      </c>
      <c r="C104" t="s">
        <v>16</v>
      </c>
      <c r="D104" t="s">
        <v>11</v>
      </c>
      <c r="E104" t="s">
        <v>12</v>
      </c>
      <c r="F104" t="s">
        <v>13</v>
      </c>
      <c r="G104" t="s">
        <v>14</v>
      </c>
      <c r="H104" s="4">
        <v>2111</v>
      </c>
      <c r="I104" s="5">
        <v>153609.04999999999</v>
      </c>
      <c r="J104" s="7" t="str">
        <f>IFERROR(VLOOKUP(C104, Master_Importer!$A:$B, 2, FALSE), "Unmapped Importer")</f>
        <v>PT Gemilang Textile</v>
      </c>
      <c r="K104" s="7" t="str">
        <f>VLOOKUP(E104,CountryMapTable[#All],2,FALSE)</f>
        <v>Japan</v>
      </c>
      <c r="L104" s="7">
        <f t="shared" si="6"/>
        <v>2025</v>
      </c>
      <c r="M104" s="7">
        <f t="shared" si="7"/>
        <v>9</v>
      </c>
      <c r="N104" s="12">
        <f>IFERROR(WorkAreaTable[[#This Row],[Import Value (USD)]]/WorkAreaTable[[#This Row],[Quantity (KG)]],0)</f>
        <v>72.766011369019409</v>
      </c>
      <c r="O104" s="16" t="str">
        <f>IF(COUNTIF(A:A, A104)&gt;1, "Duplicate ID", IF(H104=0, "Quantity 0", IF(ISNA(VLOOKUP(C104, Master_Importer!$A:$B, 2, FALSE)), "Unmapped Importer", "OK")))</f>
        <v>OK</v>
      </c>
      <c r="P104" s="18"/>
      <c r="Q104" s="18"/>
    </row>
    <row r="105" spans="1:17">
      <c r="A105" t="s">
        <v>168</v>
      </c>
      <c r="B105" s="3">
        <v>45782</v>
      </c>
      <c r="C105" t="s">
        <v>31</v>
      </c>
      <c r="D105" t="s">
        <v>67</v>
      </c>
      <c r="E105" t="s">
        <v>50</v>
      </c>
      <c r="F105" t="s">
        <v>45</v>
      </c>
      <c r="G105" t="s">
        <v>46</v>
      </c>
      <c r="H105" s="4">
        <v>1499</v>
      </c>
      <c r="I105" s="5">
        <v>56144.4</v>
      </c>
      <c r="J105" s="7" t="str">
        <f>IFERROR(VLOOKUP(C105, Master_Importer!$A:$B, 2, FALSE), "Unmapped Importer")</f>
        <v>PT Fajar Knitting</v>
      </c>
      <c r="K105" s="7" t="str">
        <f>VLOOKUP(E105,CountryMapTable[#All],2,FALSE)</f>
        <v>China</v>
      </c>
      <c r="L105" s="7">
        <f t="shared" si="6"/>
        <v>2025</v>
      </c>
      <c r="M105" s="7">
        <f t="shared" si="7"/>
        <v>5</v>
      </c>
      <c r="N105" s="12">
        <f>IFERROR(WorkAreaTable[[#This Row],[Import Value (USD)]]/WorkAreaTable[[#This Row],[Quantity (KG)]],0)</f>
        <v>37.454569713142092</v>
      </c>
      <c r="O105" s="16" t="str">
        <f>IF(COUNTIF(A:A, A105)&gt;1, "Duplicate ID", IF(H105=0, "Quantity 0", IF(ISNA(VLOOKUP(C105, Master_Importer!$A:$B, 2, FALSE)), "Unmapped Importer", "OK")))</f>
        <v>OK</v>
      </c>
      <c r="P105" s="18"/>
      <c r="Q105" s="18"/>
    </row>
    <row r="106" spans="1:17">
      <c r="A106" t="s">
        <v>169</v>
      </c>
      <c r="B106" s="3">
        <v>45842</v>
      </c>
      <c r="C106" t="s">
        <v>112</v>
      </c>
      <c r="D106" t="s">
        <v>40</v>
      </c>
      <c r="E106" t="s">
        <v>23</v>
      </c>
      <c r="F106" t="s">
        <v>45</v>
      </c>
      <c r="G106" t="s">
        <v>46</v>
      </c>
      <c r="H106" s="4">
        <v>1869</v>
      </c>
      <c r="I106" s="5">
        <v>62635.76</v>
      </c>
      <c r="J106" s="7" t="str">
        <f>IFERROR(VLOOKUP(C106, Master_Importer!$A:$B, 2, FALSE), "Unmapped Importer")</f>
        <v>PT Citra Spinning</v>
      </c>
      <c r="K106" s="7" t="str">
        <f>VLOOKUP(E106,CountryMapTable[#All],2,FALSE)</f>
        <v>India</v>
      </c>
      <c r="L106" s="7">
        <f t="shared" si="6"/>
        <v>2025</v>
      </c>
      <c r="M106" s="7">
        <f t="shared" si="7"/>
        <v>7</v>
      </c>
      <c r="N106" s="12">
        <f>IFERROR(WorkAreaTable[[#This Row],[Import Value (USD)]]/WorkAreaTable[[#This Row],[Quantity (KG)]],0)</f>
        <v>33.512980203317284</v>
      </c>
      <c r="O106" s="16" t="str">
        <f>IF(COUNTIF(A:A, A106)&gt;1, "Duplicate ID", IF(H106=0, "Quantity 0", IF(ISNA(VLOOKUP(C106, Master_Importer!$A:$B, 2, FALSE)), "Unmapped Importer", "OK")))</f>
        <v>OK</v>
      </c>
      <c r="P106" s="18"/>
      <c r="Q106" s="18"/>
    </row>
    <row r="107" spans="1:17">
      <c r="A107" t="s">
        <v>170</v>
      </c>
      <c r="B107" s="3">
        <v>45953</v>
      </c>
      <c r="C107" t="s">
        <v>146</v>
      </c>
      <c r="D107" t="s">
        <v>11</v>
      </c>
      <c r="E107" t="s">
        <v>12</v>
      </c>
      <c r="F107" t="s">
        <v>13</v>
      </c>
      <c r="G107" t="s">
        <v>14</v>
      </c>
      <c r="H107" s="4">
        <v>594</v>
      </c>
      <c r="I107" s="5">
        <v>35283.33</v>
      </c>
      <c r="J107" s="7" t="str">
        <f>IFERROR(VLOOKUP(C107, Master_Importer!$A:$B, 2, FALSE), "Unmapped Importer")</f>
        <v>PT Jaya Textile</v>
      </c>
      <c r="K107" s="7" t="str">
        <f>VLOOKUP(E107,CountryMapTable[#All],2,FALSE)</f>
        <v>Japan</v>
      </c>
      <c r="L107" s="7">
        <f t="shared" si="6"/>
        <v>2025</v>
      </c>
      <c r="M107" s="7">
        <f t="shared" si="7"/>
        <v>10</v>
      </c>
      <c r="N107" s="12">
        <f>IFERROR(WorkAreaTable[[#This Row],[Import Value (USD)]]/WorkAreaTable[[#This Row],[Quantity (KG)]],0)</f>
        <v>59.399545454545461</v>
      </c>
      <c r="O107" s="16" t="str">
        <f>IF(COUNTIF(A:A, A107)&gt;1, "Duplicate ID", IF(H107=0, "Quantity 0", IF(ISNA(VLOOKUP(C107, Master_Importer!$A:$B, 2, FALSE)), "Unmapped Importer", "OK")))</f>
        <v>OK</v>
      </c>
      <c r="P107" s="18"/>
      <c r="Q107" s="18"/>
    </row>
    <row r="108" spans="1:17">
      <c r="A108" t="s">
        <v>171</v>
      </c>
      <c r="B108" s="3">
        <v>45773</v>
      </c>
      <c r="C108" t="s">
        <v>87</v>
      </c>
      <c r="D108" t="s">
        <v>17</v>
      </c>
      <c r="E108" t="s">
        <v>12</v>
      </c>
      <c r="F108" t="s">
        <v>51</v>
      </c>
      <c r="G108" t="s">
        <v>52</v>
      </c>
      <c r="H108" s="4">
        <v>1842</v>
      </c>
      <c r="I108" s="5">
        <v>141817.26999999999</v>
      </c>
      <c r="J108" s="7" t="str">
        <f>IFERROR(VLOOKUP(C108, Master_Importer!$A:$B, 2, FALSE), "Unmapped Importer")</f>
        <v>PT Citra Spinning</v>
      </c>
      <c r="K108" s="7" t="str">
        <f>VLOOKUP(E108,CountryMapTable[#All],2,FALSE)</f>
        <v>Japan</v>
      </c>
      <c r="L108" s="7">
        <f t="shared" si="6"/>
        <v>2025</v>
      </c>
      <c r="M108" s="7">
        <f t="shared" si="7"/>
        <v>4</v>
      </c>
      <c r="N108" s="12">
        <f>IFERROR(WorkAreaTable[[#This Row],[Import Value (USD)]]/WorkAreaTable[[#This Row],[Quantity (KG)]],0)</f>
        <v>76.990917480998903</v>
      </c>
      <c r="O108" s="16" t="str">
        <f>IF(COUNTIF(A:A, A108)&gt;1, "Duplicate ID", IF(H108=0, "Quantity 0", IF(ISNA(VLOOKUP(C108, Master_Importer!$A:$B, 2, FALSE)), "Unmapped Importer", "OK")))</f>
        <v>OK</v>
      </c>
      <c r="P108" s="18"/>
      <c r="Q108" s="18"/>
    </row>
    <row r="109" spans="1:17">
      <c r="A109" t="s">
        <v>172</v>
      </c>
      <c r="B109" s="3">
        <v>45703</v>
      </c>
      <c r="C109" t="s">
        <v>44</v>
      </c>
      <c r="D109" t="s">
        <v>22</v>
      </c>
      <c r="E109" t="s">
        <v>23</v>
      </c>
      <c r="F109" t="s">
        <v>18</v>
      </c>
      <c r="G109" t="s">
        <v>19</v>
      </c>
      <c r="H109" s="4">
        <v>3732</v>
      </c>
      <c r="I109" s="5">
        <v>145615.94</v>
      </c>
      <c r="J109" s="7" t="str">
        <f>IFERROR(VLOOKUP(C109, Master_Importer!$A:$B, 2, FALSE), "Unmapped Importer")</f>
        <v>PT Aruna Textile</v>
      </c>
      <c r="K109" s="7" t="str">
        <f>VLOOKUP(E109,CountryMapTable[#All],2,FALSE)</f>
        <v>India</v>
      </c>
      <c r="L109" s="7">
        <f t="shared" si="6"/>
        <v>2025</v>
      </c>
      <c r="M109" s="7">
        <f t="shared" si="7"/>
        <v>2</v>
      </c>
      <c r="N109" s="12">
        <f>IFERROR(WorkAreaTable[[#This Row],[Import Value (USD)]]/WorkAreaTable[[#This Row],[Quantity (KG)]],0)</f>
        <v>39.018204715969993</v>
      </c>
      <c r="O109" s="16" t="str">
        <f>IF(COUNTIF(A:A, A109)&gt;1, "Duplicate ID", IF(H109=0, "Quantity 0", IF(ISNA(VLOOKUP(C109, Master_Importer!$A:$B, 2, FALSE)), "Unmapped Importer", "OK")))</f>
        <v>OK</v>
      </c>
      <c r="P109" s="18"/>
      <c r="Q109" s="18"/>
    </row>
    <row r="110" spans="1:17">
      <c r="A110" t="s">
        <v>173</v>
      </c>
      <c r="B110" s="3">
        <v>45849</v>
      </c>
      <c r="C110" t="s">
        <v>54</v>
      </c>
      <c r="D110" t="s">
        <v>49</v>
      </c>
      <c r="E110" t="s">
        <v>50</v>
      </c>
      <c r="F110" t="s">
        <v>41</v>
      </c>
      <c r="G110" t="s">
        <v>42</v>
      </c>
      <c r="H110" s="4">
        <v>2336</v>
      </c>
      <c r="I110" s="5">
        <v>62641.16</v>
      </c>
      <c r="J110" s="7" t="str">
        <f>IFERROR(VLOOKUP(C110, Master_Importer!$A:$B, 2, FALSE), "Unmapped Importer")</f>
        <v>PT Indah Weaving</v>
      </c>
      <c r="K110" s="7" t="str">
        <f>VLOOKUP(E110,CountryMapTable[#All],2,FALSE)</f>
        <v>China</v>
      </c>
      <c r="L110" s="7">
        <f t="shared" si="6"/>
        <v>2025</v>
      </c>
      <c r="M110" s="7">
        <f t="shared" si="7"/>
        <v>7</v>
      </c>
      <c r="N110" s="12">
        <f>IFERROR(WorkAreaTable[[#This Row],[Import Value (USD)]]/WorkAreaTable[[#This Row],[Quantity (KG)]],0)</f>
        <v>26.815565068493154</v>
      </c>
      <c r="O110" s="16" t="str">
        <f>IF(COUNTIF(A:A, A110)&gt;1, "Duplicate ID", IF(H110=0, "Quantity 0", IF(ISNA(VLOOKUP(C110, Master_Importer!$A:$B, 2, FALSE)), "Unmapped Importer", "OK")))</f>
        <v>OK</v>
      </c>
      <c r="P110" s="18"/>
      <c r="Q110" s="18"/>
    </row>
    <row r="111" spans="1:17">
      <c r="A111" t="s">
        <v>174</v>
      </c>
      <c r="B111" s="3">
        <v>45905</v>
      </c>
      <c r="C111" t="s">
        <v>21</v>
      </c>
      <c r="D111" t="s">
        <v>11</v>
      </c>
      <c r="E111" t="s">
        <v>12</v>
      </c>
      <c r="F111" t="s">
        <v>45</v>
      </c>
      <c r="G111" t="s">
        <v>46</v>
      </c>
      <c r="H111" s="4">
        <v>2607</v>
      </c>
      <c r="I111" s="5">
        <v>74577.100000000006</v>
      </c>
      <c r="J111" s="7" t="str">
        <f>IFERROR(VLOOKUP(C111, Master_Importer!$A:$B, 2, FALSE), "Unmapped Importer")</f>
        <v>PT Gemilang Textile</v>
      </c>
      <c r="K111" s="7" t="str">
        <f>VLOOKUP(E111,CountryMapTable[#All],2,FALSE)</f>
        <v>Japan</v>
      </c>
      <c r="L111" s="7">
        <f t="shared" si="6"/>
        <v>2025</v>
      </c>
      <c r="M111" s="7">
        <f t="shared" si="7"/>
        <v>9</v>
      </c>
      <c r="N111" s="12">
        <f>IFERROR(WorkAreaTable[[#This Row],[Import Value (USD)]]/WorkAreaTable[[#This Row],[Quantity (KG)]],0)</f>
        <v>28.606482546988879</v>
      </c>
      <c r="O111" s="16" t="str">
        <f>IF(COUNTIF(A:A, A111)&gt;1, "Duplicate ID", IF(H111=0, "Quantity 0", IF(ISNA(VLOOKUP(C111, Master_Importer!$A:$B, 2, FALSE)), "Unmapped Importer", "OK")))</f>
        <v>OK</v>
      </c>
      <c r="P111" s="18"/>
      <c r="Q111" s="18"/>
    </row>
    <row r="112" spans="1:17">
      <c r="A112" t="s">
        <v>175</v>
      </c>
      <c r="B112" s="3">
        <v>45922</v>
      </c>
      <c r="C112" t="s">
        <v>108</v>
      </c>
      <c r="D112" t="s">
        <v>67</v>
      </c>
      <c r="E112" t="s">
        <v>50</v>
      </c>
      <c r="F112" t="s">
        <v>18</v>
      </c>
      <c r="G112" t="s">
        <v>19</v>
      </c>
      <c r="H112" s="4">
        <v>1869</v>
      </c>
      <c r="I112" s="5">
        <v>94620.19</v>
      </c>
      <c r="J112" s="7" t="str">
        <f>IFERROR(VLOOKUP(C112, Master_Importer!$A:$B, 2, FALSE), "Unmapped Importer")</f>
        <v>PT Citra Spinning</v>
      </c>
      <c r="K112" s="7" t="str">
        <f>VLOOKUP(E112,CountryMapTable[#All],2,FALSE)</f>
        <v>China</v>
      </c>
      <c r="L112" s="7">
        <f t="shared" si="6"/>
        <v>2025</v>
      </c>
      <c r="M112" s="7">
        <f t="shared" si="7"/>
        <v>9</v>
      </c>
      <c r="N112" s="12">
        <f>IFERROR(WorkAreaTable[[#This Row],[Import Value (USD)]]/WorkAreaTable[[#This Row],[Quantity (KG)]],0)</f>
        <v>50.626104868913856</v>
      </c>
      <c r="O112" s="16" t="str">
        <f>IF(COUNTIF(A:A, A112)&gt;1, "Duplicate ID", IF(H112=0, "Quantity 0", IF(ISNA(VLOOKUP(C112, Master_Importer!$A:$B, 2, FALSE)), "Unmapped Importer", "OK")))</f>
        <v>OK</v>
      </c>
      <c r="P112" s="18"/>
      <c r="Q112" s="18"/>
    </row>
    <row r="113" spans="1:17">
      <c r="A113" t="s">
        <v>176</v>
      </c>
      <c r="B113" s="3">
        <v>45991</v>
      </c>
      <c r="C113" t="s">
        <v>146</v>
      </c>
      <c r="D113" t="s">
        <v>49</v>
      </c>
      <c r="E113" t="s">
        <v>50</v>
      </c>
      <c r="F113" t="s">
        <v>45</v>
      </c>
      <c r="G113" t="s">
        <v>46</v>
      </c>
      <c r="H113" s="4">
        <v>661</v>
      </c>
      <c r="I113" s="5">
        <v>16684.740000000002</v>
      </c>
      <c r="J113" s="7" t="str">
        <f>IFERROR(VLOOKUP(C113, Master_Importer!$A:$B, 2, FALSE), "Unmapped Importer")</f>
        <v>PT Jaya Textile</v>
      </c>
      <c r="K113" s="7" t="str">
        <f>VLOOKUP(E113,CountryMapTable[#All],2,FALSE)</f>
        <v>China</v>
      </c>
      <c r="L113" s="7">
        <f t="shared" si="6"/>
        <v>2025</v>
      </c>
      <c r="M113" s="7">
        <f t="shared" si="7"/>
        <v>11</v>
      </c>
      <c r="N113" s="12">
        <f>IFERROR(WorkAreaTable[[#This Row],[Import Value (USD)]]/WorkAreaTable[[#This Row],[Quantity (KG)]],0)</f>
        <v>25.241664145234495</v>
      </c>
      <c r="O113" s="16" t="str">
        <f>IF(COUNTIF(A:A, A113)&gt;1, "Duplicate ID", IF(H113=0, "Quantity 0", IF(ISNA(VLOOKUP(C113, Master_Importer!$A:$B, 2, FALSE)), "Unmapped Importer", "OK")))</f>
        <v>OK</v>
      </c>
      <c r="P113" s="18"/>
      <c r="Q113" s="18"/>
    </row>
    <row r="114" spans="1:17">
      <c r="A114" t="s">
        <v>177</v>
      </c>
      <c r="B114" s="3">
        <v>46009</v>
      </c>
      <c r="C114" t="s">
        <v>106</v>
      </c>
      <c r="D114" t="s">
        <v>91</v>
      </c>
      <c r="E114" t="s">
        <v>60</v>
      </c>
      <c r="F114" t="s">
        <v>13</v>
      </c>
      <c r="G114" t="s">
        <v>14</v>
      </c>
      <c r="H114" s="4">
        <v>933</v>
      </c>
      <c r="I114" s="5">
        <v>64642.36</v>
      </c>
      <c r="J114" s="7" t="str">
        <f>IFERROR(VLOOKUP(C114, Master_Importer!$A:$B, 2, FALSE), "Unmapped Importer")</f>
        <v>PT Bintang Weaving</v>
      </c>
      <c r="K114" s="7" t="str">
        <f>VLOOKUP(E114,CountryMapTable[#All],2,FALSE)</f>
        <v>Switzerland</v>
      </c>
      <c r="L114" s="7">
        <f t="shared" si="6"/>
        <v>2025</v>
      </c>
      <c r="M114" s="7">
        <f t="shared" si="7"/>
        <v>12</v>
      </c>
      <c r="N114" s="12">
        <f>IFERROR(WorkAreaTable[[#This Row],[Import Value (USD)]]/WorkAreaTable[[#This Row],[Quantity (KG)]],0)</f>
        <v>69.284415862808146</v>
      </c>
      <c r="O114" s="16" t="str">
        <f>IF(COUNTIF(A:A, A114)&gt;1, "Duplicate ID", IF(H114=0, "Quantity 0", IF(ISNA(VLOOKUP(C114, Master_Importer!$A:$B, 2, FALSE)), "Unmapped Importer", "OK")))</f>
        <v>OK</v>
      </c>
      <c r="P114" s="18"/>
      <c r="Q114" s="18"/>
    </row>
    <row r="115" spans="1:17">
      <c r="A115" t="s">
        <v>178</v>
      </c>
      <c r="B115" s="3">
        <v>45779</v>
      </c>
      <c r="C115" t="s">
        <v>35</v>
      </c>
      <c r="D115" t="s">
        <v>67</v>
      </c>
      <c r="E115" t="s">
        <v>50</v>
      </c>
      <c r="F115" t="s">
        <v>41</v>
      </c>
      <c r="G115" t="s">
        <v>42</v>
      </c>
      <c r="H115" s="4">
        <v>1616</v>
      </c>
      <c r="I115" s="5">
        <v>56544.79</v>
      </c>
      <c r="J115" s="7" t="str">
        <f>IFERROR(VLOOKUP(C115, Master_Importer!$A:$B, 2, FALSE), "Unmapped Importer")</f>
        <v>PT Bintang Weaving</v>
      </c>
      <c r="K115" s="7" t="str">
        <f>VLOOKUP(E115,CountryMapTable[#All],2,FALSE)</f>
        <v>China</v>
      </c>
      <c r="L115" s="7">
        <f t="shared" si="6"/>
        <v>2025</v>
      </c>
      <c r="M115" s="7">
        <f t="shared" si="7"/>
        <v>5</v>
      </c>
      <c r="N115" s="12">
        <f>IFERROR(WorkAreaTable[[#This Row],[Import Value (USD)]]/WorkAreaTable[[#This Row],[Quantity (KG)]],0)</f>
        <v>34.990587871287133</v>
      </c>
      <c r="O115" s="16" t="str">
        <f>IF(COUNTIF(A:A, A115)&gt;1, "Duplicate ID", IF(H115=0, "Quantity 0", IF(ISNA(VLOOKUP(C115, Master_Importer!$A:$B, 2, FALSE)), "Unmapped Importer", "OK")))</f>
        <v>OK</v>
      </c>
      <c r="P115" s="18"/>
      <c r="Q115" s="18"/>
    </row>
    <row r="116" spans="1:17">
      <c r="A116" t="s">
        <v>179</v>
      </c>
      <c r="B116" s="3">
        <v>45691</v>
      </c>
      <c r="C116" t="s">
        <v>25</v>
      </c>
      <c r="D116" t="s">
        <v>22</v>
      </c>
      <c r="E116" t="s">
        <v>23</v>
      </c>
      <c r="F116" t="s">
        <v>13</v>
      </c>
      <c r="G116" t="s">
        <v>14</v>
      </c>
      <c r="H116" s="4">
        <v>1127</v>
      </c>
      <c r="I116" s="5">
        <v>81459.12</v>
      </c>
      <c r="J116" s="7" t="str">
        <f>IFERROR(VLOOKUP(C116, Master_Importer!$A:$B, 2, FALSE), "Unmapped Importer")</f>
        <v>PT Aruna Textile</v>
      </c>
      <c r="K116" s="7" t="str">
        <f>VLOOKUP(E116,CountryMapTable[#All],2,FALSE)</f>
        <v>India</v>
      </c>
      <c r="L116" s="7">
        <f t="shared" si="6"/>
        <v>2025</v>
      </c>
      <c r="M116" s="7">
        <f t="shared" si="7"/>
        <v>2</v>
      </c>
      <c r="N116" s="12">
        <f>IFERROR(WorkAreaTable[[#This Row],[Import Value (USD)]]/WorkAreaTable[[#This Row],[Quantity (KG)]],0)</f>
        <v>72.279609582963616</v>
      </c>
      <c r="O116" s="16" t="str">
        <f>IF(COUNTIF(A:A, A116)&gt;1, "Duplicate ID", IF(H116=0, "Quantity 0", IF(ISNA(VLOOKUP(C116, Master_Importer!$A:$B, 2, FALSE)), "Unmapped Importer", "OK")))</f>
        <v>OK</v>
      </c>
      <c r="P116" s="18"/>
      <c r="Q116" s="18"/>
    </row>
    <row r="117" spans="1:17">
      <c r="A117" t="s">
        <v>180</v>
      </c>
      <c r="B117" s="3">
        <v>45927</v>
      </c>
      <c r="C117" t="s">
        <v>87</v>
      </c>
      <c r="D117" t="s">
        <v>49</v>
      </c>
      <c r="E117" t="s">
        <v>50</v>
      </c>
      <c r="F117" t="s">
        <v>18</v>
      </c>
      <c r="G117" t="s">
        <v>19</v>
      </c>
      <c r="H117" s="4">
        <v>783</v>
      </c>
      <c r="I117" s="5">
        <v>34431.21</v>
      </c>
      <c r="J117" s="7" t="str">
        <f>IFERROR(VLOOKUP(C117, Master_Importer!$A:$B, 2, FALSE), "Unmapped Importer")</f>
        <v>PT Citra Spinning</v>
      </c>
      <c r="K117" s="7" t="str">
        <f>VLOOKUP(E117,CountryMapTable[#All],2,FALSE)</f>
        <v>China</v>
      </c>
      <c r="L117" s="7">
        <f t="shared" si="6"/>
        <v>2025</v>
      </c>
      <c r="M117" s="7">
        <f t="shared" si="7"/>
        <v>9</v>
      </c>
      <c r="N117" s="12">
        <f>IFERROR(WorkAreaTable[[#This Row],[Import Value (USD)]]/WorkAreaTable[[#This Row],[Quantity (KG)]],0)</f>
        <v>43.973448275862069</v>
      </c>
      <c r="O117" s="16" t="str">
        <f>IF(COUNTIF(A:A, A117)&gt;1, "Duplicate ID", IF(H117=0, "Quantity 0", IF(ISNA(VLOOKUP(C117, Master_Importer!$A:$B, 2, FALSE)), "Unmapped Importer", "OK")))</f>
        <v>OK</v>
      </c>
      <c r="P117" s="18"/>
      <c r="Q117" s="18"/>
    </row>
    <row r="118" spans="1:17">
      <c r="A118" t="s">
        <v>181</v>
      </c>
      <c r="B118" s="3">
        <v>45977</v>
      </c>
      <c r="C118" t="s">
        <v>35</v>
      </c>
      <c r="D118" t="s">
        <v>67</v>
      </c>
      <c r="E118" t="s">
        <v>50</v>
      </c>
      <c r="F118" t="s">
        <v>13</v>
      </c>
      <c r="G118" t="s">
        <v>14</v>
      </c>
      <c r="H118" s="4">
        <v>777</v>
      </c>
      <c r="I118" s="5">
        <v>58332.83</v>
      </c>
      <c r="J118" s="7" t="str">
        <f>IFERROR(VLOOKUP(C118, Master_Importer!$A:$B, 2, FALSE), "Unmapped Importer")</f>
        <v>PT Bintang Weaving</v>
      </c>
      <c r="K118" s="7" t="str">
        <f>VLOOKUP(E118,CountryMapTable[#All],2,FALSE)</f>
        <v>China</v>
      </c>
      <c r="L118" s="7">
        <f t="shared" si="6"/>
        <v>2025</v>
      </c>
      <c r="M118" s="7">
        <f t="shared" si="7"/>
        <v>11</v>
      </c>
      <c r="N118" s="12">
        <f>IFERROR(WorkAreaTable[[#This Row],[Import Value (USD)]]/WorkAreaTable[[#This Row],[Quantity (KG)]],0)</f>
        <v>75.074427284427287</v>
      </c>
      <c r="O118" s="16" t="str">
        <f>IF(COUNTIF(A:A, A118)&gt;1, "Duplicate ID", IF(H118=0, "Quantity 0", IF(ISNA(VLOOKUP(C118, Master_Importer!$A:$B, 2, FALSE)), "Unmapped Importer", "OK")))</f>
        <v>OK</v>
      </c>
      <c r="P118" s="18"/>
      <c r="Q118" s="18"/>
    </row>
    <row r="119" spans="1:17">
      <c r="A119" t="s">
        <v>182</v>
      </c>
      <c r="B119" s="3">
        <v>45718</v>
      </c>
      <c r="C119" t="s">
        <v>146</v>
      </c>
      <c r="D119" t="s">
        <v>36</v>
      </c>
      <c r="E119" t="s">
        <v>37</v>
      </c>
      <c r="F119" t="s">
        <v>32</v>
      </c>
      <c r="G119" t="s">
        <v>33</v>
      </c>
      <c r="H119" s="4">
        <v>1889</v>
      </c>
      <c r="I119" s="5">
        <v>85225.06</v>
      </c>
      <c r="J119" s="7" t="str">
        <f>IFERROR(VLOOKUP(C119, Master_Importer!$A:$B, 2, FALSE), "Unmapped Importer")</f>
        <v>PT Jaya Textile</v>
      </c>
      <c r="K119" s="7" t="str">
        <f>VLOOKUP(E119,CountryMapTable[#All],2,FALSE)</f>
        <v>Türkiye</v>
      </c>
      <c r="L119" s="7">
        <f t="shared" si="6"/>
        <v>2025</v>
      </c>
      <c r="M119" s="7">
        <f t="shared" si="7"/>
        <v>3</v>
      </c>
      <c r="N119" s="12">
        <f>IFERROR(WorkAreaTable[[#This Row],[Import Value (USD)]]/WorkAreaTable[[#This Row],[Quantity (KG)]],0)</f>
        <v>45.116495500264691</v>
      </c>
      <c r="O119" s="16" t="str">
        <f>IF(COUNTIF(A:A, A119)&gt;1, "Duplicate ID", IF(H119=0, "Quantity 0", IF(ISNA(VLOOKUP(C119, Master_Importer!$A:$B, 2, FALSE)), "Unmapped Importer", "OK")))</f>
        <v>OK</v>
      </c>
      <c r="P119" s="18"/>
      <c r="Q119" s="18"/>
    </row>
    <row r="120" spans="1:17">
      <c r="A120" t="s">
        <v>183</v>
      </c>
      <c r="B120" s="3">
        <v>45706</v>
      </c>
      <c r="C120" t="s">
        <v>108</v>
      </c>
      <c r="D120" t="s">
        <v>65</v>
      </c>
      <c r="E120" t="s">
        <v>29</v>
      </c>
      <c r="F120" t="s">
        <v>32</v>
      </c>
      <c r="G120" t="s">
        <v>33</v>
      </c>
      <c r="H120" s="4">
        <v>2103</v>
      </c>
      <c r="I120" s="5">
        <v>101446.86</v>
      </c>
      <c r="J120" s="7" t="str">
        <f>IFERROR(VLOOKUP(C120, Master_Importer!$A:$B, 2, FALSE), "Unmapped Importer")</f>
        <v>PT Citra Spinning</v>
      </c>
      <c r="K120" s="7" t="str">
        <f>VLOOKUP(E120,CountryMapTable[#All],2,FALSE)</f>
        <v>Germany</v>
      </c>
      <c r="L120" s="7">
        <f t="shared" si="6"/>
        <v>2025</v>
      </c>
      <c r="M120" s="7">
        <f t="shared" si="7"/>
        <v>2</v>
      </c>
      <c r="N120" s="12">
        <f>IFERROR(WorkAreaTable[[#This Row],[Import Value (USD)]]/WorkAreaTable[[#This Row],[Quantity (KG)]],0)</f>
        <v>48.239115549215406</v>
      </c>
      <c r="O120" s="16" t="str">
        <f>IF(COUNTIF(A:A, A120)&gt;1, "Duplicate ID", IF(H120=0, "Quantity 0", IF(ISNA(VLOOKUP(C120, Master_Importer!$A:$B, 2, FALSE)), "Unmapped Importer", "OK")))</f>
        <v>OK</v>
      </c>
      <c r="P120" s="18"/>
      <c r="Q120" s="18"/>
    </row>
    <row r="121" spans="1:17">
      <c r="A121" t="s">
        <v>184</v>
      </c>
      <c r="B121" s="3">
        <v>45685</v>
      </c>
      <c r="C121" t="s">
        <v>25</v>
      </c>
      <c r="D121" t="s">
        <v>40</v>
      </c>
      <c r="E121" t="s">
        <v>23</v>
      </c>
      <c r="F121" t="s">
        <v>51</v>
      </c>
      <c r="G121" t="s">
        <v>52</v>
      </c>
      <c r="H121" s="4">
        <v>488</v>
      </c>
      <c r="I121" s="5">
        <v>34930.949999999997</v>
      </c>
      <c r="J121" s="7" t="str">
        <f>IFERROR(VLOOKUP(C121, Master_Importer!$A:$B, 2, FALSE), "Unmapped Importer")</f>
        <v>PT Aruna Textile</v>
      </c>
      <c r="K121" s="7" t="str">
        <f>VLOOKUP(E121,CountryMapTable[#All],2,FALSE)</f>
        <v>India</v>
      </c>
      <c r="L121" s="7">
        <f t="shared" si="6"/>
        <v>2025</v>
      </c>
      <c r="M121" s="7">
        <f t="shared" si="7"/>
        <v>1</v>
      </c>
      <c r="N121" s="12">
        <f>IFERROR(WorkAreaTable[[#This Row],[Import Value (USD)]]/WorkAreaTable[[#This Row],[Quantity (KG)]],0)</f>
        <v>71.579815573770489</v>
      </c>
      <c r="O121" s="16" t="str">
        <f>IF(COUNTIF(A:A, A121)&gt;1, "Duplicate ID", IF(H121=0, "Quantity 0", IF(ISNA(VLOOKUP(C121, Master_Importer!$A:$B, 2, FALSE)), "Unmapped Importer", "OK")))</f>
        <v>OK</v>
      </c>
      <c r="P121" s="18"/>
      <c r="Q121" s="18"/>
    </row>
    <row r="122" spans="1:17">
      <c r="A122" t="s">
        <v>185</v>
      </c>
      <c r="B122" s="3">
        <v>45746</v>
      </c>
      <c r="C122" t="s">
        <v>35</v>
      </c>
      <c r="D122" t="s">
        <v>91</v>
      </c>
      <c r="E122" t="s">
        <v>60</v>
      </c>
      <c r="F122" t="s">
        <v>18</v>
      </c>
      <c r="G122" t="s">
        <v>19</v>
      </c>
      <c r="H122" s="4">
        <v>648</v>
      </c>
      <c r="I122" s="5">
        <v>32262.21</v>
      </c>
      <c r="J122" s="7" t="str">
        <f>IFERROR(VLOOKUP(C122, Master_Importer!$A:$B, 2, FALSE), "Unmapped Importer")</f>
        <v>PT Bintang Weaving</v>
      </c>
      <c r="K122" s="7" t="str">
        <f>VLOOKUP(E122,CountryMapTable[#All],2,FALSE)</f>
        <v>Switzerland</v>
      </c>
      <c r="L122" s="7">
        <f t="shared" si="6"/>
        <v>2025</v>
      </c>
      <c r="M122" s="7">
        <f t="shared" si="7"/>
        <v>3</v>
      </c>
      <c r="N122" s="12">
        <f>IFERROR(WorkAreaTable[[#This Row],[Import Value (USD)]]/WorkAreaTable[[#This Row],[Quantity (KG)]],0)</f>
        <v>49.78736111111111</v>
      </c>
      <c r="O122" s="16" t="str">
        <f>IF(COUNTIF(A:A, A122)&gt;1, "Duplicate ID", IF(H122=0, "Quantity 0", IF(ISNA(VLOOKUP(C122, Master_Importer!$A:$B, 2, FALSE)), "Unmapped Importer", "OK")))</f>
        <v>OK</v>
      </c>
      <c r="P122" s="18"/>
      <c r="Q122" s="18"/>
    </row>
    <row r="123" spans="1:17">
      <c r="A123" t="s">
        <v>186</v>
      </c>
      <c r="B123" s="3">
        <v>45831</v>
      </c>
      <c r="C123" t="s">
        <v>112</v>
      </c>
      <c r="D123" t="s">
        <v>67</v>
      </c>
      <c r="E123" t="s">
        <v>50</v>
      </c>
      <c r="F123" t="s">
        <v>18</v>
      </c>
      <c r="G123" t="s">
        <v>19</v>
      </c>
      <c r="H123" s="4">
        <v>973</v>
      </c>
      <c r="I123" s="5">
        <v>51211.91</v>
      </c>
      <c r="J123" s="7" t="str">
        <f>IFERROR(VLOOKUP(C123, Master_Importer!$A:$B, 2, FALSE), "Unmapped Importer")</f>
        <v>PT Citra Spinning</v>
      </c>
      <c r="K123" s="7" t="str">
        <f>VLOOKUP(E123,CountryMapTable[#All],2,FALSE)</f>
        <v>China</v>
      </c>
      <c r="L123" s="7">
        <f t="shared" si="6"/>
        <v>2025</v>
      </c>
      <c r="M123" s="7">
        <f t="shared" si="7"/>
        <v>6</v>
      </c>
      <c r="N123" s="12">
        <f>IFERROR(WorkAreaTable[[#This Row],[Import Value (USD)]]/WorkAreaTable[[#This Row],[Quantity (KG)]],0)</f>
        <v>52.633001027749231</v>
      </c>
      <c r="O123" s="16" t="str">
        <f>IF(COUNTIF(A:A, A123)&gt;1, "Duplicate ID", IF(H123=0, "Quantity 0", IF(ISNA(VLOOKUP(C123, Master_Importer!$A:$B, 2, FALSE)), "Unmapped Importer", "OK")))</f>
        <v>OK</v>
      </c>
      <c r="P123" s="18"/>
      <c r="Q123" s="18"/>
    </row>
    <row r="124" spans="1:17">
      <c r="A124" t="s">
        <v>187</v>
      </c>
      <c r="B124" s="3">
        <v>45679</v>
      </c>
      <c r="C124" t="s">
        <v>89</v>
      </c>
      <c r="D124" t="s">
        <v>40</v>
      </c>
      <c r="E124" t="s">
        <v>23</v>
      </c>
      <c r="F124" t="s">
        <v>32</v>
      </c>
      <c r="G124" t="s">
        <v>33</v>
      </c>
      <c r="H124" s="4">
        <v>739</v>
      </c>
      <c r="I124" s="5">
        <v>28218.47</v>
      </c>
      <c r="J124" s="7" t="str">
        <f>IFERROR(VLOOKUP(C124, Master_Importer!$A:$B, 2, FALSE), "Unmapped Importer")</f>
        <v>PT Bintang Weaving</v>
      </c>
      <c r="K124" s="7" t="str">
        <f>VLOOKUP(E124,CountryMapTable[#All],2,FALSE)</f>
        <v>India</v>
      </c>
      <c r="L124" s="7">
        <f t="shared" si="6"/>
        <v>2025</v>
      </c>
      <c r="M124" s="7">
        <f t="shared" si="7"/>
        <v>1</v>
      </c>
      <c r="N124" s="12">
        <f>IFERROR(WorkAreaTable[[#This Row],[Import Value (USD)]]/WorkAreaTable[[#This Row],[Quantity (KG)]],0)</f>
        <v>38.18466847090663</v>
      </c>
      <c r="O124" s="16" t="str">
        <f>IF(COUNTIF(A:A, A124)&gt;1, "Duplicate ID", IF(H124=0, "Quantity 0", IF(ISNA(VLOOKUP(C124, Master_Importer!$A:$B, 2, FALSE)), "Unmapped Importer", "OK")))</f>
        <v>OK</v>
      </c>
      <c r="P124" s="18"/>
      <c r="Q124" s="18"/>
    </row>
    <row r="125" spans="1:17">
      <c r="A125" t="s">
        <v>188</v>
      </c>
      <c r="B125" s="3">
        <v>45940</v>
      </c>
      <c r="C125" t="s">
        <v>63</v>
      </c>
      <c r="D125" t="s">
        <v>59</v>
      </c>
      <c r="E125" t="s">
        <v>60</v>
      </c>
      <c r="F125" t="s">
        <v>13</v>
      </c>
      <c r="G125" t="s">
        <v>14</v>
      </c>
      <c r="H125" s="4">
        <v>1006</v>
      </c>
      <c r="I125" s="5">
        <v>79309.22</v>
      </c>
      <c r="J125" s="7" t="str">
        <f>IFERROR(VLOOKUP(C125, Master_Importer!$A:$B, 2, FALSE), "Unmapped Importer")</f>
        <v>PT Indah Weaving</v>
      </c>
      <c r="K125" s="7" t="str">
        <f>VLOOKUP(E125,CountryMapTable[#All],2,FALSE)</f>
        <v>Switzerland</v>
      </c>
      <c r="L125" s="7">
        <f t="shared" si="6"/>
        <v>2025</v>
      </c>
      <c r="M125" s="7">
        <f t="shared" si="7"/>
        <v>10</v>
      </c>
      <c r="N125" s="12">
        <f>IFERROR(WorkAreaTable[[#This Row],[Import Value (USD)]]/WorkAreaTable[[#This Row],[Quantity (KG)]],0)</f>
        <v>78.836202783300195</v>
      </c>
      <c r="O125" s="16" t="str">
        <f>IF(COUNTIF(A:A, A125)&gt;1, "Duplicate ID", IF(H125=0, "Quantity 0", IF(ISNA(VLOOKUP(C125, Master_Importer!$A:$B, 2, FALSE)), "Unmapped Importer", "OK")))</f>
        <v>OK</v>
      </c>
      <c r="P125" s="18"/>
      <c r="Q125" s="18"/>
    </row>
    <row r="126" spans="1:17">
      <c r="A126" t="s">
        <v>189</v>
      </c>
      <c r="B126" s="3">
        <v>45929</v>
      </c>
      <c r="C126" t="s">
        <v>97</v>
      </c>
      <c r="D126" t="s">
        <v>22</v>
      </c>
      <c r="E126" t="s">
        <v>23</v>
      </c>
      <c r="F126" t="s">
        <v>51</v>
      </c>
      <c r="G126" t="s">
        <v>52</v>
      </c>
      <c r="H126" s="4">
        <v>1055</v>
      </c>
      <c r="I126" s="5">
        <v>128142.59</v>
      </c>
      <c r="J126" s="7" t="str">
        <f>IFERROR(VLOOKUP(C126, Master_Importer!$A:$B, 2, FALSE), "Unmapped Importer")</f>
        <v>PT Harmoni Spinning</v>
      </c>
      <c r="K126" s="7" t="str">
        <f>VLOOKUP(E126,CountryMapTable[#All],2,FALSE)</f>
        <v>India</v>
      </c>
      <c r="L126" s="7">
        <f t="shared" si="6"/>
        <v>2025</v>
      </c>
      <c r="M126" s="7">
        <f t="shared" si="7"/>
        <v>9</v>
      </c>
      <c r="N126" s="12">
        <f>IFERROR(WorkAreaTable[[#This Row],[Import Value (USD)]]/WorkAreaTable[[#This Row],[Quantity (KG)]],0)</f>
        <v>121.46217061611374</v>
      </c>
      <c r="O126" s="16" t="str">
        <f>IF(COUNTIF(A:A, A126)&gt;1, "Duplicate ID", IF(H126=0, "Quantity 0", IF(ISNA(VLOOKUP(C126, Master_Importer!$A:$B, 2, FALSE)), "Unmapped Importer", "OK")))</f>
        <v>OK</v>
      </c>
      <c r="P126" s="18"/>
      <c r="Q126" s="18"/>
    </row>
    <row r="127" spans="1:17">
      <c r="A127" t="s">
        <v>190</v>
      </c>
      <c r="B127" s="3">
        <v>45923</v>
      </c>
      <c r="C127" t="s">
        <v>21</v>
      </c>
      <c r="D127" t="s">
        <v>49</v>
      </c>
      <c r="E127" t="s">
        <v>50</v>
      </c>
      <c r="F127" t="s">
        <v>41</v>
      </c>
      <c r="G127" t="s">
        <v>42</v>
      </c>
      <c r="H127" s="4">
        <v>971</v>
      </c>
      <c r="I127" s="5">
        <v>26152.59</v>
      </c>
      <c r="J127" s="7" t="str">
        <f>IFERROR(VLOOKUP(C127, Master_Importer!$A:$B, 2, FALSE), "Unmapped Importer")</f>
        <v>PT Gemilang Textile</v>
      </c>
      <c r="K127" s="7" t="str">
        <f>VLOOKUP(E127,CountryMapTable[#All],2,FALSE)</f>
        <v>China</v>
      </c>
      <c r="L127" s="7">
        <f t="shared" si="6"/>
        <v>2025</v>
      </c>
      <c r="M127" s="7">
        <f t="shared" si="7"/>
        <v>9</v>
      </c>
      <c r="N127" s="12">
        <f>IFERROR(WorkAreaTable[[#This Row],[Import Value (USD)]]/WorkAreaTable[[#This Row],[Quantity (KG)]],0)</f>
        <v>26.93366632337796</v>
      </c>
      <c r="O127" s="16" t="str">
        <f>IF(COUNTIF(A:A, A127)&gt;1, "Duplicate ID", IF(H127=0, "Quantity 0", IF(ISNA(VLOOKUP(C127, Master_Importer!$A:$B, 2, FALSE)), "Unmapped Importer", "OK")))</f>
        <v>OK</v>
      </c>
      <c r="P127" s="18"/>
      <c r="Q127" s="18"/>
    </row>
    <row r="128" spans="1:17">
      <c r="A128" t="s">
        <v>191</v>
      </c>
      <c r="B128" s="3">
        <v>45970</v>
      </c>
      <c r="C128" t="s">
        <v>97</v>
      </c>
      <c r="D128" t="s">
        <v>17</v>
      </c>
      <c r="E128" t="s">
        <v>12</v>
      </c>
      <c r="F128" t="s">
        <v>45</v>
      </c>
      <c r="G128" t="s">
        <v>46</v>
      </c>
      <c r="H128" s="4">
        <v>592</v>
      </c>
      <c r="I128" s="5">
        <v>14874.21</v>
      </c>
      <c r="J128" s="7" t="str">
        <f>IFERROR(VLOOKUP(C128, Master_Importer!$A:$B, 2, FALSE), "Unmapped Importer")</f>
        <v>PT Harmoni Spinning</v>
      </c>
      <c r="K128" s="7" t="str">
        <f>VLOOKUP(E128,CountryMapTable[#All],2,FALSE)</f>
        <v>Japan</v>
      </c>
      <c r="L128" s="7">
        <f t="shared" si="6"/>
        <v>2025</v>
      </c>
      <c r="M128" s="7">
        <f t="shared" si="7"/>
        <v>11</v>
      </c>
      <c r="N128" s="12">
        <f>IFERROR(WorkAreaTable[[#This Row],[Import Value (USD)]]/WorkAreaTable[[#This Row],[Quantity (KG)]],0)</f>
        <v>25.125354729729729</v>
      </c>
      <c r="O128" s="16" t="str">
        <f>IF(COUNTIF(A:A, A128)&gt;1, "Duplicate ID", IF(H128=0, "Quantity 0", IF(ISNA(VLOOKUP(C128, Master_Importer!$A:$B, 2, FALSE)), "Unmapped Importer", "OK")))</f>
        <v>OK</v>
      </c>
      <c r="P128" s="18"/>
      <c r="Q128" s="18"/>
    </row>
    <row r="129" spans="1:17">
      <c r="A129" t="s">
        <v>192</v>
      </c>
      <c r="B129" s="3">
        <v>45854</v>
      </c>
      <c r="C129" t="s">
        <v>16</v>
      </c>
      <c r="D129" t="s">
        <v>36</v>
      </c>
      <c r="E129" t="s">
        <v>37</v>
      </c>
      <c r="F129" t="s">
        <v>45</v>
      </c>
      <c r="G129" t="s">
        <v>46</v>
      </c>
      <c r="H129" s="4">
        <v>850</v>
      </c>
      <c r="I129" s="5">
        <v>28423.06</v>
      </c>
      <c r="J129" s="7" t="str">
        <f>IFERROR(VLOOKUP(C129, Master_Importer!$A:$B, 2, FALSE), "Unmapped Importer")</f>
        <v>PT Gemilang Textile</v>
      </c>
      <c r="K129" s="7" t="str">
        <f>VLOOKUP(E129,CountryMapTable[#All],2,FALSE)</f>
        <v>Türkiye</v>
      </c>
      <c r="L129" s="7">
        <f t="shared" si="6"/>
        <v>2025</v>
      </c>
      <c r="M129" s="7">
        <f t="shared" si="7"/>
        <v>7</v>
      </c>
      <c r="N129" s="12">
        <f>IFERROR(WorkAreaTable[[#This Row],[Import Value (USD)]]/WorkAreaTable[[#This Row],[Quantity (KG)]],0)</f>
        <v>33.43889411764706</v>
      </c>
      <c r="O129" s="16" t="str">
        <f>IF(COUNTIF(A:A, A129)&gt;1, "Duplicate ID", IF(H129=0, "Quantity 0", IF(ISNA(VLOOKUP(C129, Master_Importer!$A:$B, 2, FALSE)), "Unmapped Importer", "OK")))</f>
        <v>OK</v>
      </c>
      <c r="P129" s="18"/>
      <c r="Q129" s="18"/>
    </row>
    <row r="130" spans="1:17">
      <c r="A130" t="s">
        <v>193</v>
      </c>
      <c r="B130" s="3">
        <v>45699</v>
      </c>
      <c r="C130" t="s">
        <v>106</v>
      </c>
      <c r="D130" t="s">
        <v>91</v>
      </c>
      <c r="E130" t="s">
        <v>60</v>
      </c>
      <c r="F130" t="s">
        <v>13</v>
      </c>
      <c r="G130" t="s">
        <v>14</v>
      </c>
      <c r="H130" s="4">
        <v>1187</v>
      </c>
      <c r="I130" s="5">
        <v>66619.520000000004</v>
      </c>
      <c r="J130" s="7" t="str">
        <f>IFERROR(VLOOKUP(C130, Master_Importer!$A:$B, 2, FALSE), "Unmapped Importer")</f>
        <v>PT Bintang Weaving</v>
      </c>
      <c r="K130" s="7" t="str">
        <f>VLOOKUP(E130,CountryMapTable[#All],2,FALSE)</f>
        <v>Switzerland</v>
      </c>
      <c r="L130" s="7">
        <f t="shared" ref="L130:L161" si="8">YEAR(B130)</f>
        <v>2025</v>
      </c>
      <c r="M130" s="7">
        <f t="shared" ref="M130:M161" si="9">MONTH(B130)</f>
        <v>2</v>
      </c>
      <c r="N130" s="12">
        <f>IFERROR(WorkAreaTable[[#This Row],[Import Value (USD)]]/WorkAreaTable[[#This Row],[Quantity (KG)]],0)</f>
        <v>56.12427969671441</v>
      </c>
      <c r="O130" s="16" t="str">
        <f>IF(COUNTIF(A:A, A130)&gt;1, "Duplicate ID", IF(H130=0, "Quantity 0", IF(ISNA(VLOOKUP(C130, Master_Importer!$A:$B, 2, FALSE)), "Unmapped Importer", "OK")))</f>
        <v>OK</v>
      </c>
      <c r="P130" s="18"/>
      <c r="Q130" s="18"/>
    </row>
    <row r="131" spans="1:17">
      <c r="A131" t="s">
        <v>194</v>
      </c>
      <c r="B131" s="3">
        <v>45713</v>
      </c>
      <c r="C131" t="s">
        <v>35</v>
      </c>
      <c r="D131" t="s">
        <v>40</v>
      </c>
      <c r="E131" t="s">
        <v>23</v>
      </c>
      <c r="F131" t="s">
        <v>41</v>
      </c>
      <c r="G131" t="s">
        <v>42</v>
      </c>
      <c r="H131" s="4">
        <v>2310</v>
      </c>
      <c r="I131" s="5">
        <v>78043.45</v>
      </c>
      <c r="J131" s="7" t="str">
        <f>IFERROR(VLOOKUP(C131, Master_Importer!$A:$B, 2, FALSE), "Unmapped Importer")</f>
        <v>PT Bintang Weaving</v>
      </c>
      <c r="K131" s="7" t="str">
        <f>VLOOKUP(E131,CountryMapTable[#All],2,FALSE)</f>
        <v>India</v>
      </c>
      <c r="L131" s="7">
        <f t="shared" si="8"/>
        <v>2025</v>
      </c>
      <c r="M131" s="7">
        <f t="shared" si="9"/>
        <v>2</v>
      </c>
      <c r="N131" s="12">
        <f>IFERROR(WorkAreaTable[[#This Row],[Import Value (USD)]]/WorkAreaTable[[#This Row],[Quantity (KG)]],0)</f>
        <v>33.785043290043291</v>
      </c>
      <c r="O131" s="16" t="str">
        <f>IF(COUNTIF(A:A, A131)&gt;1, "Duplicate ID", IF(H131=0, "Quantity 0", IF(ISNA(VLOOKUP(C131, Master_Importer!$A:$B, 2, FALSE)), "Unmapped Importer", "OK")))</f>
        <v>OK</v>
      </c>
      <c r="P131" s="18"/>
      <c r="Q131" s="18"/>
    </row>
    <row r="132" spans="1:17">
      <c r="A132" t="s">
        <v>195</v>
      </c>
      <c r="B132" s="3">
        <v>45758</v>
      </c>
      <c r="C132" t="s">
        <v>78</v>
      </c>
      <c r="D132" t="s">
        <v>67</v>
      </c>
      <c r="E132" t="s">
        <v>50</v>
      </c>
      <c r="F132" t="s">
        <v>51</v>
      </c>
      <c r="G132" t="s">
        <v>52</v>
      </c>
      <c r="H132" s="4">
        <v>2179</v>
      </c>
      <c r="I132" s="5">
        <v>265187.5</v>
      </c>
      <c r="J132" s="7" t="str">
        <f>IFERROR(VLOOKUP(C132, Master_Importer!$A:$B, 2, FALSE), "Unmapped Importer")</f>
        <v>PT Aruna Textile</v>
      </c>
      <c r="K132" s="7" t="str">
        <f>VLOOKUP(E132,CountryMapTable[#All],2,FALSE)</f>
        <v>China</v>
      </c>
      <c r="L132" s="7">
        <f t="shared" si="8"/>
        <v>2025</v>
      </c>
      <c r="M132" s="7">
        <f t="shared" si="9"/>
        <v>4</v>
      </c>
      <c r="N132" s="12">
        <f>IFERROR(WorkAreaTable[[#This Row],[Import Value (USD)]]/WorkAreaTable[[#This Row],[Quantity (KG)]],0)</f>
        <v>121.70146856356126</v>
      </c>
      <c r="O132" s="16" t="str">
        <f>IF(COUNTIF(A:A, A132)&gt;1, "Duplicate ID", IF(H132=0, "Quantity 0", IF(ISNA(VLOOKUP(C132, Master_Importer!$A:$B, 2, FALSE)), "Unmapped Importer", "OK")))</f>
        <v>OK</v>
      </c>
      <c r="P132" s="18"/>
      <c r="Q132" s="18"/>
    </row>
    <row r="133" spans="1:17">
      <c r="A133" t="s">
        <v>196</v>
      </c>
      <c r="B133" s="3">
        <v>45969</v>
      </c>
      <c r="C133" t="s">
        <v>106</v>
      </c>
      <c r="D133" t="s">
        <v>17</v>
      </c>
      <c r="E133" t="s">
        <v>12</v>
      </c>
      <c r="F133" t="s">
        <v>45</v>
      </c>
      <c r="G133" t="s">
        <v>46</v>
      </c>
      <c r="H133" s="4">
        <v>1430</v>
      </c>
      <c r="I133" s="5">
        <v>44831.11</v>
      </c>
      <c r="J133" s="7" t="str">
        <f>IFERROR(VLOOKUP(C133, Master_Importer!$A:$B, 2, FALSE), "Unmapped Importer")</f>
        <v>PT Bintang Weaving</v>
      </c>
      <c r="K133" s="7" t="str">
        <f>VLOOKUP(E133,CountryMapTable[#All],2,FALSE)</f>
        <v>Japan</v>
      </c>
      <c r="L133" s="7">
        <f t="shared" si="8"/>
        <v>2025</v>
      </c>
      <c r="M133" s="7">
        <f t="shared" si="9"/>
        <v>11</v>
      </c>
      <c r="N133" s="12">
        <f>IFERROR(WorkAreaTable[[#This Row],[Import Value (USD)]]/WorkAreaTable[[#This Row],[Quantity (KG)]],0)</f>
        <v>31.350426573426574</v>
      </c>
      <c r="O133" s="16" t="str">
        <f>IF(COUNTIF(A:A, A133)&gt;1, "Duplicate ID", IF(H133=0, "Quantity 0", IF(ISNA(VLOOKUP(C133, Master_Importer!$A:$B, 2, FALSE)), "Unmapped Importer", "OK")))</f>
        <v>OK</v>
      </c>
      <c r="P133" s="18"/>
      <c r="Q133" s="18"/>
    </row>
    <row r="134" spans="1:17">
      <c r="A134" t="s">
        <v>197</v>
      </c>
      <c r="B134" s="3">
        <v>45698</v>
      </c>
      <c r="C134" t="s">
        <v>44</v>
      </c>
      <c r="D134" t="s">
        <v>22</v>
      </c>
      <c r="E134" t="s">
        <v>23</v>
      </c>
      <c r="F134" t="s">
        <v>18</v>
      </c>
      <c r="G134" t="s">
        <v>19</v>
      </c>
      <c r="H134" s="4">
        <v>2455</v>
      </c>
      <c r="I134" s="5">
        <v>138063.78</v>
      </c>
      <c r="J134" s="7" t="str">
        <f>IFERROR(VLOOKUP(C134, Master_Importer!$A:$B, 2, FALSE), "Unmapped Importer")</f>
        <v>PT Aruna Textile</v>
      </c>
      <c r="K134" s="7" t="str">
        <f>VLOOKUP(E134,CountryMapTable[#All],2,FALSE)</f>
        <v>India</v>
      </c>
      <c r="L134" s="7">
        <f t="shared" si="8"/>
        <v>2025</v>
      </c>
      <c r="M134" s="7">
        <f t="shared" si="9"/>
        <v>2</v>
      </c>
      <c r="N134" s="12">
        <f>IFERROR(WorkAreaTable[[#This Row],[Import Value (USD)]]/WorkAreaTable[[#This Row],[Quantity (KG)]],0)</f>
        <v>56.237792260692466</v>
      </c>
      <c r="O134" s="16" t="str">
        <f>IF(COUNTIF(A:A, A134)&gt;1, "Duplicate ID", IF(H134=0, "Quantity 0", IF(ISNA(VLOOKUP(C134, Master_Importer!$A:$B, 2, FALSE)), "Unmapped Importer", "OK")))</f>
        <v>OK</v>
      </c>
      <c r="P134" s="18"/>
      <c r="Q134" s="18"/>
    </row>
    <row r="135" spans="1:17">
      <c r="A135" t="s">
        <v>198</v>
      </c>
      <c r="B135" s="3">
        <v>45934</v>
      </c>
      <c r="C135" t="s">
        <v>106</v>
      </c>
      <c r="D135" t="s">
        <v>22</v>
      </c>
      <c r="E135" t="s">
        <v>23</v>
      </c>
      <c r="F135" t="s">
        <v>32</v>
      </c>
      <c r="G135" t="s">
        <v>33</v>
      </c>
      <c r="H135" s="4">
        <v>1272</v>
      </c>
      <c r="I135" s="5">
        <v>39276.800000000003</v>
      </c>
      <c r="J135" s="7" t="str">
        <f>IFERROR(VLOOKUP(C135, Master_Importer!$A:$B, 2, FALSE), "Unmapped Importer")</f>
        <v>PT Bintang Weaving</v>
      </c>
      <c r="K135" s="7" t="str">
        <f>VLOOKUP(E135,CountryMapTable[#All],2,FALSE)</f>
        <v>India</v>
      </c>
      <c r="L135" s="7">
        <f t="shared" si="8"/>
        <v>2025</v>
      </c>
      <c r="M135" s="7">
        <f t="shared" si="9"/>
        <v>10</v>
      </c>
      <c r="N135" s="12">
        <f>IFERROR(WorkAreaTable[[#This Row],[Import Value (USD)]]/WorkAreaTable[[#This Row],[Quantity (KG)]],0)</f>
        <v>30.877987421383651</v>
      </c>
      <c r="O135" s="16" t="str">
        <f>IF(COUNTIF(A:A, A135)&gt;1, "Duplicate ID", IF(H135=0, "Quantity 0", IF(ISNA(VLOOKUP(C135, Master_Importer!$A:$B, 2, FALSE)), "Unmapped Importer", "OK")))</f>
        <v>OK</v>
      </c>
      <c r="P135" s="18"/>
      <c r="Q135" s="18"/>
    </row>
    <row r="136" spans="1:17">
      <c r="A136" t="s">
        <v>199</v>
      </c>
      <c r="B136" s="3">
        <v>45766</v>
      </c>
      <c r="C136" t="s">
        <v>99</v>
      </c>
      <c r="D136" t="s">
        <v>65</v>
      </c>
      <c r="E136" t="s">
        <v>29</v>
      </c>
      <c r="F136" t="s">
        <v>45</v>
      </c>
      <c r="G136" t="s">
        <v>46</v>
      </c>
      <c r="H136" s="4">
        <v>1414</v>
      </c>
      <c r="I136" s="5">
        <v>30086.78</v>
      </c>
      <c r="J136" s="7" t="str">
        <f>IFERROR(VLOOKUP(C136, Master_Importer!$A:$B, 2, FALSE), "Unmapped Importer")</f>
        <v>PT Daya Fabrics</v>
      </c>
      <c r="K136" s="7" t="str">
        <f>VLOOKUP(E136,CountryMapTable[#All],2,FALSE)</f>
        <v>Germany</v>
      </c>
      <c r="L136" s="7">
        <f t="shared" si="8"/>
        <v>2025</v>
      </c>
      <c r="M136" s="7">
        <f t="shared" si="9"/>
        <v>4</v>
      </c>
      <c r="N136" s="12">
        <f>IFERROR(WorkAreaTable[[#This Row],[Import Value (USD)]]/WorkAreaTable[[#This Row],[Quantity (KG)]],0)</f>
        <v>21.277779349363506</v>
      </c>
      <c r="O136" s="16" t="str">
        <f>IF(COUNTIF(A:A, A136)&gt;1, "Duplicate ID", IF(H136=0, "Quantity 0", IF(ISNA(VLOOKUP(C136, Master_Importer!$A:$B, 2, FALSE)), "Unmapped Importer", "OK")))</f>
        <v>OK</v>
      </c>
      <c r="P136" s="18"/>
      <c r="Q136" s="18"/>
    </row>
    <row r="137" spans="1:17">
      <c r="A137" t="s">
        <v>200</v>
      </c>
      <c r="B137" s="3">
        <v>45927</v>
      </c>
      <c r="C137" t="s">
        <v>16</v>
      </c>
      <c r="D137" t="s">
        <v>28</v>
      </c>
      <c r="E137" t="s">
        <v>29</v>
      </c>
      <c r="F137" t="s">
        <v>41</v>
      </c>
      <c r="G137" t="s">
        <v>42</v>
      </c>
      <c r="H137" s="4">
        <v>1420</v>
      </c>
      <c r="I137" s="5">
        <v>40053.760000000002</v>
      </c>
      <c r="J137" s="7" t="str">
        <f>IFERROR(VLOOKUP(C137, Master_Importer!$A:$B, 2, FALSE), "Unmapped Importer")</f>
        <v>PT Gemilang Textile</v>
      </c>
      <c r="K137" s="7" t="str">
        <f>VLOOKUP(E137,CountryMapTable[#All],2,FALSE)</f>
        <v>Germany</v>
      </c>
      <c r="L137" s="7">
        <f t="shared" si="8"/>
        <v>2025</v>
      </c>
      <c r="M137" s="7">
        <f t="shared" si="9"/>
        <v>9</v>
      </c>
      <c r="N137" s="12">
        <f>IFERROR(WorkAreaTable[[#This Row],[Import Value (USD)]]/WorkAreaTable[[#This Row],[Quantity (KG)]],0)</f>
        <v>28.206873239436622</v>
      </c>
      <c r="O137" s="16" t="str">
        <f>IF(COUNTIF(A:A, A137)&gt;1, "Duplicate ID", IF(H137=0, "Quantity 0", IF(ISNA(VLOOKUP(C137, Master_Importer!$A:$B, 2, FALSE)), "Unmapped Importer", "OK")))</f>
        <v>OK</v>
      </c>
      <c r="P137" s="18"/>
      <c r="Q137" s="18"/>
    </row>
    <row r="138" spans="1:17">
      <c r="A138" t="s">
        <v>201</v>
      </c>
      <c r="B138" s="3">
        <v>45919</v>
      </c>
      <c r="C138" t="s">
        <v>97</v>
      </c>
      <c r="D138" t="s">
        <v>59</v>
      </c>
      <c r="E138" t="s">
        <v>60</v>
      </c>
      <c r="F138" t="s">
        <v>18</v>
      </c>
      <c r="G138" t="s">
        <v>19</v>
      </c>
      <c r="H138" s="4">
        <v>1891</v>
      </c>
      <c r="I138" s="5">
        <v>106327.27</v>
      </c>
      <c r="J138" s="7" t="str">
        <f>IFERROR(VLOOKUP(C138, Master_Importer!$A:$B, 2, FALSE), "Unmapped Importer")</f>
        <v>PT Harmoni Spinning</v>
      </c>
      <c r="K138" s="7" t="str">
        <f>VLOOKUP(E138,CountryMapTable[#All],2,FALSE)</f>
        <v>Switzerland</v>
      </c>
      <c r="L138" s="7">
        <f t="shared" si="8"/>
        <v>2025</v>
      </c>
      <c r="M138" s="7">
        <f t="shared" si="9"/>
        <v>9</v>
      </c>
      <c r="N138" s="12">
        <f>IFERROR(WorkAreaTable[[#This Row],[Import Value (USD)]]/WorkAreaTable[[#This Row],[Quantity (KG)]],0)</f>
        <v>56.228064516129031</v>
      </c>
      <c r="O138" s="16" t="str">
        <f>IF(COUNTIF(A:A, A138)&gt;1, "Duplicate ID", IF(H138=0, "Quantity 0", IF(ISNA(VLOOKUP(C138, Master_Importer!$A:$B, 2, FALSE)), "Unmapped Importer", "OK")))</f>
        <v>OK</v>
      </c>
      <c r="P138" s="18"/>
      <c r="Q138" s="18"/>
    </row>
    <row r="139" spans="1:17">
      <c r="A139" t="s">
        <v>202</v>
      </c>
      <c r="B139" s="3">
        <v>45979</v>
      </c>
      <c r="C139" t="s">
        <v>112</v>
      </c>
      <c r="D139" t="s">
        <v>67</v>
      </c>
      <c r="E139" t="s">
        <v>50</v>
      </c>
      <c r="F139" t="s">
        <v>41</v>
      </c>
      <c r="G139" t="s">
        <v>42</v>
      </c>
      <c r="H139" s="4">
        <v>2927</v>
      </c>
      <c r="I139" s="5">
        <v>89886.24</v>
      </c>
      <c r="J139" s="7" t="str">
        <f>IFERROR(VLOOKUP(C139, Master_Importer!$A:$B, 2, FALSE), "Unmapped Importer")</f>
        <v>PT Citra Spinning</v>
      </c>
      <c r="K139" s="7" t="str">
        <f>VLOOKUP(E139,CountryMapTable[#All],2,FALSE)</f>
        <v>China</v>
      </c>
      <c r="L139" s="7">
        <f t="shared" si="8"/>
        <v>2025</v>
      </c>
      <c r="M139" s="7">
        <f t="shared" si="9"/>
        <v>11</v>
      </c>
      <c r="N139" s="12">
        <f>IFERROR(WorkAreaTable[[#This Row],[Import Value (USD)]]/WorkAreaTable[[#This Row],[Quantity (KG)]],0)</f>
        <v>30.709340621797065</v>
      </c>
      <c r="O139" s="16" t="str">
        <f>IF(COUNTIF(A:A, A139)&gt;1, "Duplicate ID", IF(H139=0, "Quantity 0", IF(ISNA(VLOOKUP(C139, Master_Importer!$A:$B, 2, FALSE)), "Unmapped Importer", "OK")))</f>
        <v>OK</v>
      </c>
      <c r="P139" s="18"/>
      <c r="Q139" s="18"/>
    </row>
    <row r="140" spans="1:17">
      <c r="A140" t="s">
        <v>203</v>
      </c>
      <c r="B140" s="3">
        <v>45868</v>
      </c>
      <c r="C140" t="s">
        <v>204</v>
      </c>
      <c r="D140" t="s">
        <v>17</v>
      </c>
      <c r="E140" t="s">
        <v>12</v>
      </c>
      <c r="F140" t="s">
        <v>32</v>
      </c>
      <c r="G140" t="s">
        <v>33</v>
      </c>
      <c r="H140" s="4">
        <v>1039</v>
      </c>
      <c r="I140" s="5">
        <v>55242.98</v>
      </c>
      <c r="J140" s="7" t="str">
        <f>IFERROR(VLOOKUP(C140, Master_Importer!$A:$B, 2, FALSE), "Unmapped Importer")</f>
        <v>PT Jaya Textile</v>
      </c>
      <c r="K140" s="7" t="str">
        <f>VLOOKUP(E140,CountryMapTable[#All],2,FALSE)</f>
        <v>Japan</v>
      </c>
      <c r="L140" s="7">
        <f t="shared" si="8"/>
        <v>2025</v>
      </c>
      <c r="M140" s="7">
        <f t="shared" si="9"/>
        <v>7</v>
      </c>
      <c r="N140" s="12">
        <f>IFERROR(WorkAreaTable[[#This Row],[Import Value (USD)]]/WorkAreaTable[[#This Row],[Quantity (KG)]],0)</f>
        <v>53.169374398460057</v>
      </c>
      <c r="O140" s="16" t="str">
        <f>IF(COUNTIF(A:A, A140)&gt;1, "Duplicate ID", IF(H140=0, "Quantity 0", IF(ISNA(VLOOKUP(C140, Master_Importer!$A:$B, 2, FALSE)), "Unmapped Importer", "OK")))</f>
        <v>OK</v>
      </c>
      <c r="P140" s="18"/>
      <c r="Q140" s="18"/>
    </row>
    <row r="141" spans="1:17">
      <c r="A141" t="s">
        <v>205</v>
      </c>
      <c r="B141" s="3">
        <v>45953</v>
      </c>
      <c r="C141" t="s">
        <v>44</v>
      </c>
      <c r="D141" t="s">
        <v>22</v>
      </c>
      <c r="E141" t="s">
        <v>23</v>
      </c>
      <c r="F141" t="s">
        <v>45</v>
      </c>
      <c r="G141" t="s">
        <v>46</v>
      </c>
      <c r="H141" s="4">
        <v>1858</v>
      </c>
      <c r="I141" s="5">
        <v>42729.32</v>
      </c>
      <c r="J141" s="7" t="str">
        <f>IFERROR(VLOOKUP(C141, Master_Importer!$A:$B, 2, FALSE), "Unmapped Importer")</f>
        <v>PT Aruna Textile</v>
      </c>
      <c r="K141" s="7" t="str">
        <f>VLOOKUP(E141,CountryMapTable[#All],2,FALSE)</f>
        <v>India</v>
      </c>
      <c r="L141" s="7">
        <f t="shared" si="8"/>
        <v>2025</v>
      </c>
      <c r="M141" s="7">
        <f t="shared" si="9"/>
        <v>10</v>
      </c>
      <c r="N141" s="12">
        <f>IFERROR(WorkAreaTable[[#This Row],[Import Value (USD)]]/WorkAreaTable[[#This Row],[Quantity (KG)]],0)</f>
        <v>22.997481162540367</v>
      </c>
      <c r="O141" s="16" t="str">
        <f>IF(COUNTIF(A:A, A141)&gt;1, "Duplicate ID", IF(H141=0, "Quantity 0", IF(ISNA(VLOOKUP(C141, Master_Importer!$A:$B, 2, FALSE)), "Unmapped Importer", "OK")))</f>
        <v>OK</v>
      </c>
      <c r="P141" s="18"/>
      <c r="Q141" s="18"/>
    </row>
    <row r="142" spans="1:17">
      <c r="A142" t="s">
        <v>206</v>
      </c>
      <c r="B142" s="3">
        <v>46182</v>
      </c>
      <c r="C142" t="s">
        <v>102</v>
      </c>
      <c r="D142" t="s">
        <v>49</v>
      </c>
      <c r="E142" t="s">
        <v>50</v>
      </c>
      <c r="F142" t="s">
        <v>45</v>
      </c>
      <c r="G142" t="s">
        <v>46</v>
      </c>
      <c r="H142" s="4">
        <v>1961</v>
      </c>
      <c r="I142" s="5">
        <v>76620.58</v>
      </c>
      <c r="J142" s="7" t="str">
        <f>IFERROR(VLOOKUP(C142, Master_Importer!$A:$B, 2, FALSE), "Unmapped Importer")</f>
        <v>PT Eka Textile</v>
      </c>
      <c r="K142" s="7" t="str">
        <f>VLOOKUP(E142,CountryMapTable[#All],2,FALSE)</f>
        <v>China</v>
      </c>
      <c r="L142" s="7">
        <f t="shared" si="8"/>
        <v>2026</v>
      </c>
      <c r="M142" s="7">
        <f t="shared" si="9"/>
        <v>6</v>
      </c>
      <c r="N142" s="12">
        <f>IFERROR(WorkAreaTable[[#This Row],[Import Value (USD)]]/WorkAreaTable[[#This Row],[Quantity (KG)]],0)</f>
        <v>39.072197858235597</v>
      </c>
      <c r="O142" s="16" t="str">
        <f>IF(COUNTIF(A:A, A142)&gt;1, "Duplicate ID", IF(H142=0, "Quantity 0", IF(ISNA(VLOOKUP(C142, Master_Importer!$A:$B, 2, FALSE)), "Unmapped Importer", "OK")))</f>
        <v>OK</v>
      </c>
      <c r="P142" s="18"/>
      <c r="Q142" s="18"/>
    </row>
    <row r="143" spans="1:17">
      <c r="A143" t="s">
        <v>207</v>
      </c>
      <c r="B143" s="3">
        <v>46093</v>
      </c>
      <c r="C143" t="s">
        <v>25</v>
      </c>
      <c r="D143" t="s">
        <v>49</v>
      </c>
      <c r="E143" t="s">
        <v>50</v>
      </c>
      <c r="F143" t="s">
        <v>41</v>
      </c>
      <c r="G143" t="s">
        <v>42</v>
      </c>
      <c r="H143" s="4">
        <v>824</v>
      </c>
      <c r="I143" s="5">
        <v>35223.74</v>
      </c>
      <c r="J143" s="7" t="str">
        <f>IFERROR(VLOOKUP(C143, Master_Importer!$A:$B, 2, FALSE), "Unmapped Importer")</f>
        <v>PT Aruna Textile</v>
      </c>
      <c r="K143" s="7" t="str">
        <f>VLOOKUP(E143,CountryMapTable[#All],2,FALSE)</f>
        <v>China</v>
      </c>
      <c r="L143" s="7">
        <f t="shared" si="8"/>
        <v>2026</v>
      </c>
      <c r="M143" s="7">
        <f t="shared" si="9"/>
        <v>3</v>
      </c>
      <c r="N143" s="12">
        <f>IFERROR(WorkAreaTable[[#This Row],[Import Value (USD)]]/WorkAreaTable[[#This Row],[Quantity (KG)]],0)</f>
        <v>42.747257281553395</v>
      </c>
      <c r="O143" s="16" t="str">
        <f>IF(COUNTIF(A:A, A143)&gt;1, "Duplicate ID", IF(H143=0, "Quantity 0", IF(ISNA(VLOOKUP(C143, Master_Importer!$A:$B, 2, FALSE)), "Unmapped Importer", "OK")))</f>
        <v>OK</v>
      </c>
      <c r="P143" s="18"/>
      <c r="Q143" s="18"/>
    </row>
    <row r="144" spans="1:17">
      <c r="A144" t="s">
        <v>208</v>
      </c>
      <c r="B144" s="3">
        <v>46208</v>
      </c>
      <c r="C144" t="s">
        <v>108</v>
      </c>
      <c r="D144" t="s">
        <v>67</v>
      </c>
      <c r="E144" t="s">
        <v>50</v>
      </c>
      <c r="F144" t="s">
        <v>41</v>
      </c>
      <c r="G144" t="s">
        <v>42</v>
      </c>
      <c r="H144" s="4">
        <v>1738</v>
      </c>
      <c r="I144" s="5">
        <v>62476.84</v>
      </c>
      <c r="J144" s="7" t="str">
        <f>IFERROR(VLOOKUP(C144, Master_Importer!$A:$B, 2, FALSE), "Unmapped Importer")</f>
        <v>PT Citra Spinning</v>
      </c>
      <c r="K144" s="7" t="str">
        <f>VLOOKUP(E144,CountryMapTable[#All],2,FALSE)</f>
        <v>China</v>
      </c>
      <c r="L144" s="7">
        <f t="shared" si="8"/>
        <v>2026</v>
      </c>
      <c r="M144" s="7">
        <f t="shared" si="9"/>
        <v>7</v>
      </c>
      <c r="N144" s="12">
        <f>IFERROR(WorkAreaTable[[#This Row],[Import Value (USD)]]/WorkAreaTable[[#This Row],[Quantity (KG)]],0)</f>
        <v>35.947548906789415</v>
      </c>
      <c r="O144" s="16" t="str">
        <f>IF(COUNTIF(A:A, A144)&gt;1, "Duplicate ID", IF(H144=0, "Quantity 0", IF(ISNA(VLOOKUP(C144, Master_Importer!$A:$B, 2, FALSE)), "Unmapped Importer", "OK")))</f>
        <v>OK</v>
      </c>
      <c r="P144" s="18"/>
      <c r="Q144" s="18"/>
    </row>
    <row r="145" spans="1:17">
      <c r="A145" t="s">
        <v>209</v>
      </c>
      <c r="B145" s="3">
        <v>46223</v>
      </c>
      <c r="C145" t="s">
        <v>25</v>
      </c>
      <c r="D145" t="s">
        <v>67</v>
      </c>
      <c r="E145" t="s">
        <v>50</v>
      </c>
      <c r="F145" t="s">
        <v>51</v>
      </c>
      <c r="G145" t="s">
        <v>52</v>
      </c>
      <c r="H145" s="4">
        <v>0</v>
      </c>
      <c r="I145" s="5">
        <v>105996.43</v>
      </c>
      <c r="J145" s="7" t="str">
        <f>IFERROR(VLOOKUP(C145, Master_Importer!$A:$B, 2, FALSE), "Unmapped Importer")</f>
        <v>PT Aruna Textile</v>
      </c>
      <c r="K145" s="7" t="str">
        <f>VLOOKUP(E145,CountryMapTable[#All],2,FALSE)</f>
        <v>China</v>
      </c>
      <c r="L145" s="7">
        <f t="shared" si="8"/>
        <v>2026</v>
      </c>
      <c r="M145" s="7">
        <f t="shared" si="9"/>
        <v>7</v>
      </c>
      <c r="N145" s="12">
        <f>IFERROR(WorkAreaTable[[#This Row],[Import Value (USD)]]/WorkAreaTable[[#This Row],[Quantity (KG)]],0)</f>
        <v>0</v>
      </c>
      <c r="O145" s="16" t="str">
        <f>IF(COUNTIF(A:A, A145)&gt;1, "Duplicate ID", IF(H145=0, "Quantity 0", IF(ISNA(VLOOKUP(C145, Master_Importer!$A:$B, 2, FALSE)), "Unmapped Importer", "OK")))</f>
        <v>Quantity 0</v>
      </c>
      <c r="P145" s="18"/>
      <c r="Q145" s="18"/>
    </row>
    <row r="146" spans="1:17">
      <c r="A146" t="s">
        <v>210</v>
      </c>
      <c r="B146" s="3">
        <v>46165</v>
      </c>
      <c r="C146" t="s">
        <v>10</v>
      </c>
      <c r="D146" t="s">
        <v>67</v>
      </c>
      <c r="E146" t="s">
        <v>50</v>
      </c>
      <c r="F146" t="s">
        <v>51</v>
      </c>
      <c r="G146" t="s">
        <v>52</v>
      </c>
      <c r="H146" s="4">
        <v>808</v>
      </c>
      <c r="I146" s="5">
        <v>77289.259999999995</v>
      </c>
      <c r="J146" s="7" t="str">
        <f>IFERROR(VLOOKUP(C146, Master_Importer!$A:$B, 2, FALSE), "Unmapped Importer")</f>
        <v>PT Daya Fabrics</v>
      </c>
      <c r="K146" s="7" t="str">
        <f>VLOOKUP(E146,CountryMapTable[#All],2,FALSE)</f>
        <v>China</v>
      </c>
      <c r="L146" s="7">
        <f t="shared" si="8"/>
        <v>2026</v>
      </c>
      <c r="M146" s="7">
        <f t="shared" si="9"/>
        <v>5</v>
      </c>
      <c r="N146" s="12">
        <f>IFERROR(WorkAreaTable[[#This Row],[Import Value (USD)]]/WorkAreaTable[[#This Row],[Quantity (KG)]],0)</f>
        <v>95.655024752475242</v>
      </c>
      <c r="O146" s="16" t="str">
        <f>IF(COUNTIF(A:A, A146)&gt;1, "Duplicate ID", IF(H146=0, "Quantity 0", IF(ISNA(VLOOKUP(C146, Master_Importer!$A:$B, 2, FALSE)), "Unmapped Importer", "OK")))</f>
        <v>OK</v>
      </c>
      <c r="P146" s="18"/>
      <c r="Q146" s="18"/>
    </row>
    <row r="147" spans="1:17">
      <c r="A147" t="s">
        <v>211</v>
      </c>
      <c r="B147" s="3">
        <v>46218</v>
      </c>
      <c r="C147" t="s">
        <v>102</v>
      </c>
      <c r="D147" t="s">
        <v>49</v>
      </c>
      <c r="E147" t="s">
        <v>50</v>
      </c>
      <c r="F147" t="s">
        <v>13</v>
      </c>
      <c r="G147" t="s">
        <v>14</v>
      </c>
      <c r="H147" s="4">
        <v>492</v>
      </c>
      <c r="I147" s="5">
        <v>24250.83</v>
      </c>
      <c r="J147" s="7" t="str">
        <f>IFERROR(VLOOKUP(C147, Master_Importer!$A:$B, 2, FALSE), "Unmapped Importer")</f>
        <v>PT Eka Textile</v>
      </c>
      <c r="K147" s="7" t="str">
        <f>VLOOKUP(E147,CountryMapTable[#All],2,FALSE)</f>
        <v>China</v>
      </c>
      <c r="L147" s="7">
        <f t="shared" si="8"/>
        <v>2026</v>
      </c>
      <c r="M147" s="7">
        <f t="shared" si="9"/>
        <v>7</v>
      </c>
      <c r="N147" s="12">
        <f>IFERROR(WorkAreaTable[[#This Row],[Import Value (USD)]]/WorkAreaTable[[#This Row],[Quantity (KG)]],0)</f>
        <v>49.290304878048786</v>
      </c>
      <c r="O147" s="16" t="str">
        <f>IF(COUNTIF(A:A, A147)&gt;1, "Duplicate ID", IF(H147=0, "Quantity 0", IF(ISNA(VLOOKUP(C147, Master_Importer!$A:$B, 2, FALSE)), "Unmapped Importer", "OK")))</f>
        <v>OK</v>
      </c>
      <c r="P147" s="18"/>
      <c r="Q147" s="18"/>
    </row>
    <row r="148" spans="1:17">
      <c r="A148" t="s">
        <v>212</v>
      </c>
      <c r="B148" s="3">
        <v>46027</v>
      </c>
      <c r="C148" t="s">
        <v>44</v>
      </c>
      <c r="D148" t="s">
        <v>67</v>
      </c>
      <c r="E148" t="s">
        <v>50</v>
      </c>
      <c r="F148" t="s">
        <v>18</v>
      </c>
      <c r="G148" t="s">
        <v>19</v>
      </c>
      <c r="H148" s="4">
        <v>776</v>
      </c>
      <c r="I148" s="5">
        <v>53163.46</v>
      </c>
      <c r="J148" s="7" t="str">
        <f>IFERROR(VLOOKUP(C148, Master_Importer!$A:$B, 2, FALSE), "Unmapped Importer")</f>
        <v>PT Aruna Textile</v>
      </c>
      <c r="K148" s="7" t="str">
        <f>VLOOKUP(E148,CountryMapTable[#All],2,FALSE)</f>
        <v>China</v>
      </c>
      <c r="L148" s="7">
        <f t="shared" si="8"/>
        <v>2026</v>
      </c>
      <c r="M148" s="7">
        <f t="shared" si="9"/>
        <v>1</v>
      </c>
      <c r="N148" s="12">
        <f>IFERROR(WorkAreaTable[[#This Row],[Import Value (USD)]]/WorkAreaTable[[#This Row],[Quantity (KG)]],0)</f>
        <v>68.509613402061859</v>
      </c>
      <c r="O148" s="16" t="str">
        <f>IF(COUNTIF(A:A, A148)&gt;1, "Duplicate ID", IF(H148=0, "Quantity 0", IF(ISNA(VLOOKUP(C148, Master_Importer!$A:$B, 2, FALSE)), "Unmapped Importer", "OK")))</f>
        <v>OK</v>
      </c>
      <c r="P148" s="18"/>
      <c r="Q148" s="18"/>
    </row>
    <row r="149" spans="1:17">
      <c r="A149" t="s">
        <v>213</v>
      </c>
      <c r="B149" s="3">
        <v>46226</v>
      </c>
      <c r="C149" t="s">
        <v>214</v>
      </c>
      <c r="D149" t="s">
        <v>11</v>
      </c>
      <c r="E149" t="s">
        <v>12</v>
      </c>
      <c r="F149" t="s">
        <v>41</v>
      </c>
      <c r="G149" t="s">
        <v>42</v>
      </c>
      <c r="H149" s="4">
        <v>1874</v>
      </c>
      <c r="I149" s="5">
        <v>63633.54</v>
      </c>
      <c r="J149" s="7" t="str">
        <f>IFERROR(VLOOKUP(C149, Master_Importer!$A:$B, 2, FALSE), "Unmapped Importer")</f>
        <v>Unmapped Importer</v>
      </c>
      <c r="K149" s="7" t="str">
        <f>VLOOKUP(E149,CountryMapTable[#All],2,FALSE)</f>
        <v>Japan</v>
      </c>
      <c r="L149" s="7">
        <f t="shared" si="8"/>
        <v>2026</v>
      </c>
      <c r="M149" s="7">
        <f t="shared" si="9"/>
        <v>7</v>
      </c>
      <c r="N149" s="12">
        <f>IFERROR(WorkAreaTable[[#This Row],[Import Value (USD)]]/WorkAreaTable[[#This Row],[Quantity (KG)]],0)</f>
        <v>33.955997865528282</v>
      </c>
      <c r="O149" s="16" t="str">
        <f>IF(COUNTIF(A:A, A149)&gt;1, "Duplicate ID", IF(H149=0, "Quantity 0", IF(ISNA(VLOOKUP(C149, Master_Importer!$A:$B, 2, FALSE)), "Unmapped Importer", "OK")))</f>
        <v>Unmapped Importer</v>
      </c>
      <c r="P149" s="18"/>
      <c r="Q149" s="18"/>
    </row>
    <row r="150" spans="1:17">
      <c r="A150" t="s">
        <v>215</v>
      </c>
      <c r="B150" s="3">
        <v>46258</v>
      </c>
      <c r="C150" t="s">
        <v>54</v>
      </c>
      <c r="D150" t="s">
        <v>65</v>
      </c>
      <c r="E150" t="s">
        <v>29</v>
      </c>
      <c r="F150" t="s">
        <v>41</v>
      </c>
      <c r="G150" t="s">
        <v>42</v>
      </c>
      <c r="H150" s="4">
        <v>616</v>
      </c>
      <c r="I150" s="5">
        <v>23912.21</v>
      </c>
      <c r="J150" s="7" t="str">
        <f>IFERROR(VLOOKUP(C150, Master_Importer!$A:$B, 2, FALSE), "Unmapped Importer")</f>
        <v>PT Indah Weaving</v>
      </c>
      <c r="K150" s="7" t="str">
        <f>VLOOKUP(E150,CountryMapTable[#All],2,FALSE)</f>
        <v>Germany</v>
      </c>
      <c r="L150" s="7">
        <f t="shared" si="8"/>
        <v>2026</v>
      </c>
      <c r="M150" s="7">
        <f t="shared" si="9"/>
        <v>8</v>
      </c>
      <c r="N150" s="12">
        <f>IFERROR(WorkAreaTable[[#This Row],[Import Value (USD)]]/WorkAreaTable[[#This Row],[Quantity (KG)]],0)</f>
        <v>38.818522727272729</v>
      </c>
      <c r="O150" s="16" t="str">
        <f>IF(COUNTIF(A:A, A150)&gt;1, "Duplicate ID", IF(H150=0, "Quantity 0", IF(ISNA(VLOOKUP(C150, Master_Importer!$A:$B, 2, FALSE)), "Unmapped Importer", "OK")))</f>
        <v>OK</v>
      </c>
      <c r="P150" s="18"/>
      <c r="Q150" s="18"/>
    </row>
    <row r="151" spans="1:17">
      <c r="A151" t="s">
        <v>216</v>
      </c>
      <c r="B151" s="3">
        <v>46128</v>
      </c>
      <c r="C151" t="s">
        <v>69</v>
      </c>
      <c r="D151" t="s">
        <v>11</v>
      </c>
      <c r="E151" t="s">
        <v>12</v>
      </c>
      <c r="F151" t="s">
        <v>45</v>
      </c>
      <c r="G151" t="s">
        <v>46</v>
      </c>
      <c r="H151" s="4">
        <v>1485</v>
      </c>
      <c r="I151" s="5">
        <v>50200.73</v>
      </c>
      <c r="J151" s="7" t="str">
        <f>IFERROR(VLOOKUP(C151, Master_Importer!$A:$B, 2, FALSE), "Unmapped Importer")</f>
        <v>PT Harmoni Spinning</v>
      </c>
      <c r="K151" s="7" t="str">
        <f>VLOOKUP(E151,CountryMapTable[#All],2,FALSE)</f>
        <v>Japan</v>
      </c>
      <c r="L151" s="7">
        <f t="shared" si="8"/>
        <v>2026</v>
      </c>
      <c r="M151" s="7">
        <f t="shared" si="9"/>
        <v>4</v>
      </c>
      <c r="N151" s="12">
        <f>IFERROR(WorkAreaTable[[#This Row],[Import Value (USD)]]/WorkAreaTable[[#This Row],[Quantity (KG)]],0)</f>
        <v>33.80520538720539</v>
      </c>
      <c r="O151" s="16" t="str">
        <f>IF(COUNTIF(A:A, A151)&gt;1, "Duplicate ID", IF(H151=0, "Quantity 0", IF(ISNA(VLOOKUP(C151, Master_Importer!$A:$B, 2, FALSE)), "Unmapped Importer", "OK")))</f>
        <v>OK</v>
      </c>
      <c r="P151" s="18"/>
      <c r="Q151" s="18"/>
    </row>
    <row r="152" spans="1:17">
      <c r="A152" t="s">
        <v>217</v>
      </c>
      <c r="B152" s="3">
        <v>46251</v>
      </c>
      <c r="C152" t="s">
        <v>108</v>
      </c>
      <c r="D152" t="s">
        <v>65</v>
      </c>
      <c r="E152" t="s">
        <v>29</v>
      </c>
      <c r="F152" t="s">
        <v>32</v>
      </c>
      <c r="G152" t="s">
        <v>33</v>
      </c>
      <c r="H152" s="4">
        <v>610</v>
      </c>
      <c r="I152" s="5">
        <v>22846.75</v>
      </c>
      <c r="J152" s="7" t="str">
        <f>IFERROR(VLOOKUP(C152, Master_Importer!$A:$B, 2, FALSE), "Unmapped Importer")</f>
        <v>PT Citra Spinning</v>
      </c>
      <c r="K152" s="7" t="str">
        <f>VLOOKUP(E152,CountryMapTable[#All],2,FALSE)</f>
        <v>Germany</v>
      </c>
      <c r="L152" s="7">
        <f t="shared" si="8"/>
        <v>2026</v>
      </c>
      <c r="M152" s="7">
        <f t="shared" si="9"/>
        <v>8</v>
      </c>
      <c r="N152" s="12">
        <f>IFERROR(WorkAreaTable[[#This Row],[Import Value (USD)]]/WorkAreaTable[[#This Row],[Quantity (KG)]],0)</f>
        <v>37.453688524590163</v>
      </c>
      <c r="O152" s="16" t="str">
        <f>IF(COUNTIF(A:A, A152)&gt;1, "Duplicate ID", IF(H152=0, "Quantity 0", IF(ISNA(VLOOKUP(C152, Master_Importer!$A:$B, 2, FALSE)), "Unmapped Importer", "OK")))</f>
        <v>OK</v>
      </c>
      <c r="P152" s="18"/>
      <c r="Q152" s="18"/>
    </row>
    <row r="153" spans="1:17">
      <c r="A153" t="s">
        <v>218</v>
      </c>
      <c r="B153" s="3">
        <v>46251</v>
      </c>
      <c r="C153" t="s">
        <v>25</v>
      </c>
      <c r="D153" t="s">
        <v>67</v>
      </c>
      <c r="E153" t="s">
        <v>50</v>
      </c>
      <c r="F153" t="s">
        <v>32</v>
      </c>
      <c r="G153" t="s">
        <v>33</v>
      </c>
      <c r="H153" s="4">
        <v>2839</v>
      </c>
      <c r="I153" s="5">
        <v>134224.82999999999</v>
      </c>
      <c r="J153" s="7" t="str">
        <f>IFERROR(VLOOKUP(C153, Master_Importer!$A:$B, 2, FALSE), "Unmapped Importer")</f>
        <v>PT Aruna Textile</v>
      </c>
      <c r="K153" s="7" t="str">
        <f>VLOOKUP(E153,CountryMapTable[#All],2,FALSE)</f>
        <v>China</v>
      </c>
      <c r="L153" s="7">
        <f t="shared" si="8"/>
        <v>2026</v>
      </c>
      <c r="M153" s="7">
        <f t="shared" si="9"/>
        <v>8</v>
      </c>
      <c r="N153" s="12">
        <f>IFERROR(WorkAreaTable[[#This Row],[Import Value (USD)]]/WorkAreaTable[[#This Row],[Quantity (KG)]],0)</f>
        <v>47.278911588587526</v>
      </c>
      <c r="O153" s="16" t="str">
        <f>IF(COUNTIF(A:A, A153)&gt;1, "Duplicate ID", IF(H153=0, "Quantity 0", IF(ISNA(VLOOKUP(C153, Master_Importer!$A:$B, 2, FALSE)), "Unmapped Importer", "OK")))</f>
        <v>OK</v>
      </c>
      <c r="P153" s="18"/>
      <c r="Q153" s="18"/>
    </row>
    <row r="154" spans="1:17">
      <c r="A154" t="s">
        <v>219</v>
      </c>
      <c r="B154" s="3">
        <v>46162</v>
      </c>
      <c r="C154" t="s">
        <v>56</v>
      </c>
      <c r="D154" t="s">
        <v>67</v>
      </c>
      <c r="E154" t="s">
        <v>50</v>
      </c>
      <c r="F154" t="s">
        <v>32</v>
      </c>
      <c r="G154" t="s">
        <v>33</v>
      </c>
      <c r="H154" s="4">
        <v>710</v>
      </c>
      <c r="I154" s="5">
        <v>31869.24</v>
      </c>
      <c r="J154" s="7" t="str">
        <f>IFERROR(VLOOKUP(C154, Master_Importer!$A:$B, 2, FALSE), "Unmapped Importer")</f>
        <v>PT Eka Textile</v>
      </c>
      <c r="K154" s="7" t="str">
        <f>VLOOKUP(E154,CountryMapTable[#All],2,FALSE)</f>
        <v>China</v>
      </c>
      <c r="L154" s="7">
        <f t="shared" si="8"/>
        <v>2026</v>
      </c>
      <c r="M154" s="7">
        <f t="shared" si="9"/>
        <v>5</v>
      </c>
      <c r="N154" s="12">
        <f>IFERROR(WorkAreaTable[[#This Row],[Import Value (USD)]]/WorkAreaTable[[#This Row],[Quantity (KG)]],0)</f>
        <v>44.886253521126761</v>
      </c>
      <c r="O154" s="16" t="str">
        <f>IF(COUNTIF(A:A, A154)&gt;1, "Duplicate ID", IF(H154=0, "Quantity 0", IF(ISNA(VLOOKUP(C154, Master_Importer!$A:$B, 2, FALSE)), "Unmapped Importer", "OK")))</f>
        <v>OK</v>
      </c>
      <c r="P154" s="18"/>
      <c r="Q154" s="18"/>
    </row>
    <row r="155" spans="1:17">
      <c r="A155" t="s">
        <v>220</v>
      </c>
      <c r="B155" s="3">
        <v>46026</v>
      </c>
      <c r="C155" t="s">
        <v>87</v>
      </c>
      <c r="D155" t="s">
        <v>59</v>
      </c>
      <c r="E155" t="s">
        <v>60</v>
      </c>
      <c r="F155" t="s">
        <v>13</v>
      </c>
      <c r="G155" t="s">
        <v>14</v>
      </c>
      <c r="H155" s="4">
        <v>1618</v>
      </c>
      <c r="I155" s="5">
        <v>131257.24</v>
      </c>
      <c r="J155" s="7" t="str">
        <f>IFERROR(VLOOKUP(C155, Master_Importer!$A:$B, 2, FALSE), "Unmapped Importer")</f>
        <v>PT Citra Spinning</v>
      </c>
      <c r="K155" s="7" t="str">
        <f>VLOOKUP(E155,CountryMapTable[#All],2,FALSE)</f>
        <v>Switzerland</v>
      </c>
      <c r="L155" s="7">
        <f t="shared" si="8"/>
        <v>2026</v>
      </c>
      <c r="M155" s="7">
        <f t="shared" si="9"/>
        <v>1</v>
      </c>
      <c r="N155" s="12">
        <f>IFERROR(WorkAreaTable[[#This Row],[Import Value (USD)]]/WorkAreaTable[[#This Row],[Quantity (KG)]],0)</f>
        <v>81.123139678615573</v>
      </c>
      <c r="O155" s="16" t="str">
        <f>IF(COUNTIF(A:A, A155)&gt;1, "Duplicate ID", IF(H155=0, "Quantity 0", IF(ISNA(VLOOKUP(C155, Master_Importer!$A:$B, 2, FALSE)), "Unmapped Importer", "OK")))</f>
        <v>OK</v>
      </c>
      <c r="P155" s="18"/>
      <c r="Q155" s="18"/>
    </row>
    <row r="156" spans="1:17">
      <c r="A156" t="s">
        <v>221</v>
      </c>
      <c r="B156" s="3">
        <v>46104</v>
      </c>
      <c r="C156" t="s">
        <v>31</v>
      </c>
      <c r="D156" t="s">
        <v>17</v>
      </c>
      <c r="E156" t="s">
        <v>12</v>
      </c>
      <c r="F156" t="s">
        <v>45</v>
      </c>
      <c r="G156" t="s">
        <v>46</v>
      </c>
      <c r="H156" s="4">
        <v>446</v>
      </c>
      <c r="I156" s="5">
        <v>14753.47</v>
      </c>
      <c r="J156" s="7" t="str">
        <f>IFERROR(VLOOKUP(C156, Master_Importer!$A:$B, 2, FALSE), "Unmapped Importer")</f>
        <v>PT Fajar Knitting</v>
      </c>
      <c r="K156" s="7" t="str">
        <f>VLOOKUP(E156,CountryMapTable[#All],2,FALSE)</f>
        <v>Japan</v>
      </c>
      <c r="L156" s="7">
        <f t="shared" si="8"/>
        <v>2026</v>
      </c>
      <c r="M156" s="7">
        <f t="shared" si="9"/>
        <v>3</v>
      </c>
      <c r="N156" s="12">
        <f>IFERROR(WorkAreaTable[[#This Row],[Import Value (USD)]]/WorkAreaTable[[#This Row],[Quantity (KG)]],0)</f>
        <v>33.079529147982065</v>
      </c>
      <c r="O156" s="16" t="str">
        <f>IF(COUNTIF(A:A, A156)&gt;1, "Duplicate ID", IF(H156=0, "Quantity 0", IF(ISNA(VLOOKUP(C156, Master_Importer!$A:$B, 2, FALSE)), "Unmapped Importer", "OK")))</f>
        <v>OK</v>
      </c>
      <c r="P156" s="18"/>
      <c r="Q156" s="18"/>
    </row>
    <row r="157" spans="1:17">
      <c r="A157" t="s">
        <v>222</v>
      </c>
      <c r="B157" s="3">
        <v>46069</v>
      </c>
      <c r="C157" t="s">
        <v>73</v>
      </c>
      <c r="D157" t="s">
        <v>17</v>
      </c>
      <c r="E157" t="s">
        <v>12</v>
      </c>
      <c r="F157" t="s">
        <v>51</v>
      </c>
      <c r="G157" t="s">
        <v>52</v>
      </c>
      <c r="H157" s="4">
        <v>1408</v>
      </c>
      <c r="I157" s="5">
        <v>135055.07</v>
      </c>
      <c r="J157" s="7" t="str">
        <f>IFERROR(VLOOKUP(C157, Master_Importer!$A:$B, 2, FALSE), "Unmapped Importer")</f>
        <v>PT Gemilang Textile</v>
      </c>
      <c r="K157" s="7" t="str">
        <f>VLOOKUP(E157,CountryMapTable[#All],2,FALSE)</f>
        <v>Japan</v>
      </c>
      <c r="L157" s="7">
        <f t="shared" si="8"/>
        <v>2026</v>
      </c>
      <c r="M157" s="7">
        <f t="shared" si="9"/>
        <v>2</v>
      </c>
      <c r="N157" s="12">
        <f>IFERROR(WorkAreaTable[[#This Row],[Import Value (USD)]]/WorkAreaTable[[#This Row],[Quantity (KG)]],0)</f>
        <v>95.919794034090913</v>
      </c>
      <c r="O157" s="16" t="str">
        <f>IF(COUNTIF(A:A, A157)&gt;1, "Duplicate ID", IF(H157=0, "Quantity 0", IF(ISNA(VLOOKUP(C157, Master_Importer!$A:$B, 2, FALSE)), "Unmapped Importer", "OK")))</f>
        <v>OK</v>
      </c>
      <c r="P157" s="18"/>
      <c r="Q157" s="18"/>
    </row>
    <row r="158" spans="1:17">
      <c r="A158" t="s">
        <v>223</v>
      </c>
      <c r="B158" s="3">
        <v>46028</v>
      </c>
      <c r="C158" t="s">
        <v>97</v>
      </c>
      <c r="D158" t="s">
        <v>11</v>
      </c>
      <c r="E158" t="s">
        <v>12</v>
      </c>
      <c r="F158" t="s">
        <v>45</v>
      </c>
      <c r="G158" t="s">
        <v>46</v>
      </c>
      <c r="H158" s="4">
        <v>1818</v>
      </c>
      <c r="I158" s="5">
        <v>64214.63</v>
      </c>
      <c r="J158" s="7" t="str">
        <f>IFERROR(VLOOKUP(C158, Master_Importer!$A:$B, 2, FALSE), "Unmapped Importer")</f>
        <v>PT Harmoni Spinning</v>
      </c>
      <c r="K158" s="7" t="str">
        <f>VLOOKUP(E158,CountryMapTable[#All],2,FALSE)</f>
        <v>Japan</v>
      </c>
      <c r="L158" s="7">
        <f t="shared" si="8"/>
        <v>2026</v>
      </c>
      <c r="M158" s="7">
        <f t="shared" si="9"/>
        <v>1</v>
      </c>
      <c r="N158" s="12">
        <f>IFERROR(WorkAreaTable[[#This Row],[Import Value (USD)]]/WorkAreaTable[[#This Row],[Quantity (KG)]],0)</f>
        <v>35.321578657865786</v>
      </c>
      <c r="O158" s="16" t="str">
        <f>IF(COUNTIF(A:A, A158)&gt;1, "Duplicate ID", IF(H158=0, "Quantity 0", IF(ISNA(VLOOKUP(C158, Master_Importer!$A:$B, 2, FALSE)), "Unmapped Importer", "OK")))</f>
        <v>OK</v>
      </c>
      <c r="P158" s="18"/>
      <c r="Q158" s="18"/>
    </row>
    <row r="159" spans="1:17">
      <c r="A159" t="s">
        <v>224</v>
      </c>
      <c r="B159" s="3">
        <v>46230</v>
      </c>
      <c r="C159" t="s">
        <v>69</v>
      </c>
      <c r="D159" t="s">
        <v>67</v>
      </c>
      <c r="E159" t="s">
        <v>50</v>
      </c>
      <c r="F159" t="s">
        <v>51</v>
      </c>
      <c r="G159" t="s">
        <v>52</v>
      </c>
      <c r="H159" s="4">
        <v>1969</v>
      </c>
      <c r="I159" s="5">
        <v>144915.32</v>
      </c>
      <c r="J159" s="7" t="str">
        <f>IFERROR(VLOOKUP(C159, Master_Importer!$A:$B, 2, FALSE), "Unmapped Importer")</f>
        <v>PT Harmoni Spinning</v>
      </c>
      <c r="K159" s="7" t="str">
        <f>VLOOKUP(E159,CountryMapTable[#All],2,FALSE)</f>
        <v>China</v>
      </c>
      <c r="L159" s="7">
        <f t="shared" si="8"/>
        <v>2026</v>
      </c>
      <c r="M159" s="7">
        <f t="shared" si="9"/>
        <v>7</v>
      </c>
      <c r="N159" s="12">
        <f>IFERROR(WorkAreaTable[[#This Row],[Import Value (USD)]]/WorkAreaTable[[#This Row],[Quantity (KG)]],0)</f>
        <v>73.59843575418995</v>
      </c>
      <c r="O159" s="16" t="str">
        <f>IF(COUNTIF(A:A, A159)&gt;1, "Duplicate ID", IF(H159=0, "Quantity 0", IF(ISNA(VLOOKUP(C159, Master_Importer!$A:$B, 2, FALSE)), "Unmapped Importer", "OK")))</f>
        <v>OK</v>
      </c>
      <c r="P159" s="18"/>
      <c r="Q159" s="18"/>
    </row>
    <row r="160" spans="1:17">
      <c r="A160" t="s">
        <v>225</v>
      </c>
      <c r="B160" s="3">
        <v>46215</v>
      </c>
      <c r="C160" t="s">
        <v>112</v>
      </c>
      <c r="D160" t="s">
        <v>59</v>
      </c>
      <c r="E160" t="s">
        <v>60</v>
      </c>
      <c r="F160" t="s">
        <v>45</v>
      </c>
      <c r="G160" t="s">
        <v>46</v>
      </c>
      <c r="H160" s="4">
        <v>1294</v>
      </c>
      <c r="I160" s="5">
        <v>37071.15</v>
      </c>
      <c r="J160" s="7" t="str">
        <f>IFERROR(VLOOKUP(C160, Master_Importer!$A:$B, 2, FALSE), "Unmapped Importer")</f>
        <v>PT Citra Spinning</v>
      </c>
      <c r="K160" s="7" t="str">
        <f>VLOOKUP(E160,CountryMapTable[#All],2,FALSE)</f>
        <v>Switzerland</v>
      </c>
      <c r="L160" s="7">
        <f t="shared" si="8"/>
        <v>2026</v>
      </c>
      <c r="M160" s="7">
        <f t="shared" si="9"/>
        <v>7</v>
      </c>
      <c r="N160" s="12">
        <f>IFERROR(WorkAreaTable[[#This Row],[Import Value (USD)]]/WorkAreaTable[[#This Row],[Quantity (KG)]],0)</f>
        <v>28.648493044822256</v>
      </c>
      <c r="O160" s="16" t="str">
        <f>IF(COUNTIF(A:A, A160)&gt;1, "Duplicate ID", IF(H160=0, "Quantity 0", IF(ISNA(VLOOKUP(C160, Master_Importer!$A:$B, 2, FALSE)), "Unmapped Importer", "OK")))</f>
        <v>OK</v>
      </c>
      <c r="P160" s="18"/>
      <c r="Q160" s="18"/>
    </row>
    <row r="161" spans="1:17">
      <c r="A161" t="s">
        <v>226</v>
      </c>
      <c r="B161" s="3">
        <v>46041</v>
      </c>
      <c r="C161" t="s">
        <v>112</v>
      </c>
      <c r="D161" t="s">
        <v>57</v>
      </c>
      <c r="E161" t="s">
        <v>37</v>
      </c>
      <c r="F161" t="s">
        <v>18</v>
      </c>
      <c r="G161" t="s">
        <v>19</v>
      </c>
      <c r="H161" s="4">
        <v>1436</v>
      </c>
      <c r="I161" s="5">
        <v>101698.01</v>
      </c>
      <c r="J161" s="7" t="str">
        <f>IFERROR(VLOOKUP(C161, Master_Importer!$A:$B, 2, FALSE), "Unmapped Importer")</f>
        <v>PT Citra Spinning</v>
      </c>
      <c r="K161" s="7" t="str">
        <f>VLOOKUP(E161,CountryMapTable[#All],2,FALSE)</f>
        <v>Türkiye</v>
      </c>
      <c r="L161" s="7">
        <f t="shared" si="8"/>
        <v>2026</v>
      </c>
      <c r="M161" s="7">
        <f t="shared" si="9"/>
        <v>1</v>
      </c>
      <c r="N161" s="12">
        <f>IFERROR(WorkAreaTable[[#This Row],[Import Value (USD)]]/WorkAreaTable[[#This Row],[Quantity (KG)]],0)</f>
        <v>70.820341225626734</v>
      </c>
      <c r="O161" s="16" t="str">
        <f>IF(COUNTIF(A:A, A161)&gt;1, "Duplicate ID", IF(H161=0, "Quantity 0", IF(ISNA(VLOOKUP(C161, Master_Importer!$A:$B, 2, FALSE)), "Unmapped Importer", "OK")))</f>
        <v>OK</v>
      </c>
      <c r="P161" s="18"/>
      <c r="Q161" s="18"/>
    </row>
    <row r="162" spans="1:17">
      <c r="A162" t="s">
        <v>227</v>
      </c>
      <c r="B162" s="3">
        <v>46050</v>
      </c>
      <c r="C162" t="s">
        <v>78</v>
      </c>
      <c r="D162" t="s">
        <v>17</v>
      </c>
      <c r="E162" t="s">
        <v>12</v>
      </c>
      <c r="F162" t="s">
        <v>18</v>
      </c>
      <c r="G162" t="s">
        <v>19</v>
      </c>
      <c r="H162" s="4">
        <v>840</v>
      </c>
      <c r="I162" s="5">
        <v>47920.55</v>
      </c>
      <c r="J162" s="7" t="str">
        <f>IFERROR(VLOOKUP(C162, Master_Importer!$A:$B, 2, FALSE), "Unmapped Importer")</f>
        <v>PT Aruna Textile</v>
      </c>
      <c r="K162" s="7" t="str">
        <f>VLOOKUP(E162,CountryMapTable[#All],2,FALSE)</f>
        <v>Japan</v>
      </c>
      <c r="L162" s="7">
        <f t="shared" ref="L162:L194" si="10">YEAR(B162)</f>
        <v>2026</v>
      </c>
      <c r="M162" s="7">
        <f t="shared" ref="M162:M194" si="11">MONTH(B162)</f>
        <v>1</v>
      </c>
      <c r="N162" s="12">
        <f>IFERROR(WorkAreaTable[[#This Row],[Import Value (USD)]]/WorkAreaTable[[#This Row],[Quantity (KG)]],0)</f>
        <v>57.048273809523813</v>
      </c>
      <c r="O162" s="16" t="str">
        <f>IF(COUNTIF(A:A, A162)&gt;1, "Duplicate ID", IF(H162=0, "Quantity 0", IF(ISNA(VLOOKUP(C162, Master_Importer!$A:$B, 2, FALSE)), "Unmapped Importer", "OK")))</f>
        <v>OK</v>
      </c>
      <c r="P162" s="18"/>
      <c r="Q162" s="18"/>
    </row>
    <row r="163" spans="1:17">
      <c r="A163" t="s">
        <v>228</v>
      </c>
      <c r="B163" s="3">
        <v>46054</v>
      </c>
      <c r="C163" t="s">
        <v>78</v>
      </c>
      <c r="D163" t="s">
        <v>67</v>
      </c>
      <c r="E163" t="s">
        <v>50</v>
      </c>
      <c r="F163" t="s">
        <v>18</v>
      </c>
      <c r="G163" t="s">
        <v>19</v>
      </c>
      <c r="H163" s="4">
        <v>1010</v>
      </c>
      <c r="I163" s="5">
        <v>68661.740000000005</v>
      </c>
      <c r="J163" s="7" t="str">
        <f>IFERROR(VLOOKUP(C163, Master_Importer!$A:$B, 2, FALSE), "Unmapped Importer")</f>
        <v>PT Aruna Textile</v>
      </c>
      <c r="K163" s="7" t="str">
        <f>VLOOKUP(E163,CountryMapTable[#All],2,FALSE)</f>
        <v>China</v>
      </c>
      <c r="L163" s="7">
        <f t="shared" si="10"/>
        <v>2026</v>
      </c>
      <c r="M163" s="7">
        <f t="shared" si="11"/>
        <v>2</v>
      </c>
      <c r="N163" s="12">
        <f>IFERROR(WorkAreaTable[[#This Row],[Import Value (USD)]]/WorkAreaTable[[#This Row],[Quantity (KG)]],0)</f>
        <v>67.981920792079208</v>
      </c>
      <c r="O163" s="16" t="str">
        <f>IF(COUNTIF(A:A, A163)&gt;1, "Duplicate ID", IF(H163=0, "Quantity 0", IF(ISNA(VLOOKUP(C163, Master_Importer!$A:$B, 2, FALSE)), "Unmapped Importer", "OK")))</f>
        <v>OK</v>
      </c>
      <c r="P163" s="18"/>
      <c r="Q163" s="18"/>
    </row>
    <row r="164" spans="1:17">
      <c r="A164" t="s">
        <v>229</v>
      </c>
      <c r="B164" s="3">
        <v>46245</v>
      </c>
      <c r="C164" t="s">
        <v>106</v>
      </c>
      <c r="D164" t="s">
        <v>17</v>
      </c>
      <c r="E164" t="s">
        <v>12</v>
      </c>
      <c r="F164" t="s">
        <v>45</v>
      </c>
      <c r="G164" t="s">
        <v>46</v>
      </c>
      <c r="H164" s="4">
        <v>2086</v>
      </c>
      <c r="I164" s="5">
        <v>81518.61</v>
      </c>
      <c r="J164" s="7" t="str">
        <f>IFERROR(VLOOKUP(C164, Master_Importer!$A:$B, 2, FALSE), "Unmapped Importer")</f>
        <v>PT Bintang Weaving</v>
      </c>
      <c r="K164" s="7" t="str">
        <f>VLOOKUP(E164,CountryMapTable[#All],2,FALSE)</f>
        <v>Japan</v>
      </c>
      <c r="L164" s="7">
        <f t="shared" si="10"/>
        <v>2026</v>
      </c>
      <c r="M164" s="7">
        <f t="shared" si="11"/>
        <v>8</v>
      </c>
      <c r="N164" s="12">
        <f>IFERROR(WorkAreaTable[[#This Row],[Import Value (USD)]]/WorkAreaTable[[#This Row],[Quantity (KG)]],0)</f>
        <v>39.078911792905082</v>
      </c>
      <c r="O164" s="16" t="str">
        <f>IF(COUNTIF(A:A, A164)&gt;1, "Duplicate ID", IF(H164=0, "Quantity 0", IF(ISNA(VLOOKUP(C164, Master_Importer!$A:$B, 2, FALSE)), "Unmapped Importer", "OK")))</f>
        <v>OK</v>
      </c>
      <c r="P164" s="18"/>
      <c r="Q164" s="18"/>
    </row>
    <row r="165" spans="1:17">
      <c r="A165" t="s">
        <v>230</v>
      </c>
      <c r="B165" s="3">
        <v>46230</v>
      </c>
      <c r="C165" t="s">
        <v>35</v>
      </c>
      <c r="D165" t="s">
        <v>49</v>
      </c>
      <c r="E165" t="s">
        <v>50</v>
      </c>
      <c r="F165" t="s">
        <v>13</v>
      </c>
      <c r="G165" t="s">
        <v>14</v>
      </c>
      <c r="H165" s="4">
        <v>1480</v>
      </c>
      <c r="I165" s="5">
        <v>81884.55</v>
      </c>
      <c r="J165" s="7" t="str">
        <f>IFERROR(VLOOKUP(C165, Master_Importer!$A:$B, 2, FALSE), "Unmapped Importer")</f>
        <v>PT Bintang Weaving</v>
      </c>
      <c r="K165" s="7" t="str">
        <f>VLOOKUP(E165,CountryMapTable[#All],2,FALSE)</f>
        <v>China</v>
      </c>
      <c r="L165" s="7">
        <f t="shared" si="10"/>
        <v>2026</v>
      </c>
      <c r="M165" s="7">
        <f t="shared" si="11"/>
        <v>7</v>
      </c>
      <c r="N165" s="12">
        <f>IFERROR(WorkAreaTable[[#This Row],[Import Value (USD)]]/WorkAreaTable[[#This Row],[Quantity (KG)]],0)</f>
        <v>55.327398648648654</v>
      </c>
      <c r="O165" s="16" t="str">
        <f>IF(COUNTIF(A:A, A165)&gt;1, "Duplicate ID", IF(H165=0, "Quantity 0", IF(ISNA(VLOOKUP(C165, Master_Importer!$A:$B, 2, FALSE)), "Unmapped Importer", "OK")))</f>
        <v>OK</v>
      </c>
      <c r="P165" s="18"/>
      <c r="Q165" s="18"/>
    </row>
    <row r="166" spans="1:17">
      <c r="A166" t="s">
        <v>231</v>
      </c>
      <c r="B166" s="3">
        <v>46091</v>
      </c>
      <c r="C166" t="s">
        <v>56</v>
      </c>
      <c r="D166" t="s">
        <v>22</v>
      </c>
      <c r="E166" t="s">
        <v>23</v>
      </c>
      <c r="F166" t="s">
        <v>45</v>
      </c>
      <c r="G166" t="s">
        <v>46</v>
      </c>
      <c r="H166" s="4">
        <v>1918</v>
      </c>
      <c r="I166" s="5">
        <v>74892.759999999995</v>
      </c>
      <c r="J166" s="7" t="str">
        <f>IFERROR(VLOOKUP(C166, Master_Importer!$A:$B, 2, FALSE), "Unmapped Importer")</f>
        <v>PT Eka Textile</v>
      </c>
      <c r="K166" s="7" t="str">
        <f>VLOOKUP(E166,CountryMapTable[#All],2,FALSE)</f>
        <v>India</v>
      </c>
      <c r="L166" s="7">
        <f t="shared" si="10"/>
        <v>2026</v>
      </c>
      <c r="M166" s="7">
        <f t="shared" si="11"/>
        <v>3</v>
      </c>
      <c r="N166" s="12">
        <f>IFERROR(WorkAreaTable[[#This Row],[Import Value (USD)]]/WorkAreaTable[[#This Row],[Quantity (KG)]],0)</f>
        <v>39.047320125130341</v>
      </c>
      <c r="O166" s="16" t="str">
        <f>IF(COUNTIF(A:A, A166)&gt;1, "Duplicate ID", IF(H166=0, "Quantity 0", IF(ISNA(VLOOKUP(C166, Master_Importer!$A:$B, 2, FALSE)), "Unmapped Importer", "OK")))</f>
        <v>OK</v>
      </c>
      <c r="P166" s="18"/>
      <c r="Q166" s="18"/>
    </row>
    <row r="167" spans="1:17">
      <c r="A167" t="s">
        <v>232</v>
      </c>
      <c r="B167" s="3">
        <v>46100</v>
      </c>
      <c r="C167" t="s">
        <v>99</v>
      </c>
      <c r="D167" t="s">
        <v>59</v>
      </c>
      <c r="E167" t="s">
        <v>60</v>
      </c>
      <c r="F167" t="s">
        <v>18</v>
      </c>
      <c r="G167" t="s">
        <v>19</v>
      </c>
      <c r="H167" s="4">
        <v>2113</v>
      </c>
      <c r="I167" s="5">
        <v>103767.35</v>
      </c>
      <c r="J167" s="7" t="str">
        <f>IFERROR(VLOOKUP(C167, Master_Importer!$A:$B, 2, FALSE), "Unmapped Importer")</f>
        <v>PT Daya Fabrics</v>
      </c>
      <c r="K167" s="7" t="str">
        <f>VLOOKUP(E167,CountryMapTable[#All],2,FALSE)</f>
        <v>Switzerland</v>
      </c>
      <c r="L167" s="7">
        <f t="shared" si="10"/>
        <v>2026</v>
      </c>
      <c r="M167" s="7">
        <f t="shared" si="11"/>
        <v>3</v>
      </c>
      <c r="N167" s="12">
        <f>IFERROR(WorkAreaTable[[#This Row],[Import Value (USD)]]/WorkAreaTable[[#This Row],[Quantity (KG)]],0)</f>
        <v>49.109015617605301</v>
      </c>
      <c r="O167" s="16" t="str">
        <f>IF(COUNTIF(A:A, A167)&gt;1, "Duplicate ID", IF(H167=0, "Quantity 0", IF(ISNA(VLOOKUP(C167, Master_Importer!$A:$B, 2, FALSE)), "Unmapped Importer", "OK")))</f>
        <v>Duplicate ID</v>
      </c>
      <c r="P167" s="18"/>
      <c r="Q167" s="18"/>
    </row>
    <row r="168" spans="1:17">
      <c r="A168" t="s">
        <v>233</v>
      </c>
      <c r="B168" s="3">
        <v>46163</v>
      </c>
      <c r="C168" t="s">
        <v>31</v>
      </c>
      <c r="D168" t="s">
        <v>11</v>
      </c>
      <c r="E168" t="s">
        <v>12</v>
      </c>
      <c r="F168" t="s">
        <v>13</v>
      </c>
      <c r="G168" t="s">
        <v>14</v>
      </c>
      <c r="H168" s="4">
        <v>793</v>
      </c>
      <c r="I168" s="5">
        <v>46772.63</v>
      </c>
      <c r="J168" s="7" t="str">
        <f>IFERROR(VLOOKUP(C168, Master_Importer!$A:$B, 2, FALSE), "Unmapped Importer")</f>
        <v>PT Fajar Knitting</v>
      </c>
      <c r="K168" s="7" t="str">
        <f>VLOOKUP(E168,CountryMapTable[#All],2,FALSE)</f>
        <v>Japan</v>
      </c>
      <c r="L168" s="7">
        <f t="shared" si="10"/>
        <v>2026</v>
      </c>
      <c r="M168" s="7">
        <f t="shared" si="11"/>
        <v>5</v>
      </c>
      <c r="N168" s="12">
        <f>IFERROR(WorkAreaTable[[#This Row],[Import Value (USD)]]/WorkAreaTable[[#This Row],[Quantity (KG)]],0)</f>
        <v>58.981878940731399</v>
      </c>
      <c r="O168" s="16" t="str">
        <f>IF(COUNTIF(A:A, A168)&gt;1, "Duplicate ID", IF(H168=0, "Quantity 0", IF(ISNA(VLOOKUP(C168, Master_Importer!$A:$B, 2, FALSE)), "Unmapped Importer", "OK")))</f>
        <v>OK</v>
      </c>
      <c r="P168" s="18"/>
      <c r="Q168" s="18"/>
    </row>
    <row r="169" spans="1:17">
      <c r="A169" t="s">
        <v>234</v>
      </c>
      <c r="B169" s="3">
        <v>46262</v>
      </c>
      <c r="C169" t="s">
        <v>35</v>
      </c>
      <c r="D169" t="s">
        <v>11</v>
      </c>
      <c r="E169" t="s">
        <v>12</v>
      </c>
      <c r="F169" t="s">
        <v>18</v>
      </c>
      <c r="G169" t="s">
        <v>19</v>
      </c>
      <c r="H169" s="4">
        <v>3079</v>
      </c>
      <c r="I169" s="5">
        <v>209291.95</v>
      </c>
      <c r="J169" s="7" t="str">
        <f>IFERROR(VLOOKUP(C169, Master_Importer!$A:$B, 2, FALSE), "Unmapped Importer")</f>
        <v>PT Bintang Weaving</v>
      </c>
      <c r="K169" s="7" t="str">
        <f>VLOOKUP(E169,CountryMapTable[#All],2,FALSE)</f>
        <v>Japan</v>
      </c>
      <c r="L169" s="7">
        <f t="shared" si="10"/>
        <v>2026</v>
      </c>
      <c r="M169" s="7">
        <f t="shared" si="11"/>
        <v>8</v>
      </c>
      <c r="N169" s="12">
        <f>IFERROR(WorkAreaTable[[#This Row],[Import Value (USD)]]/WorkAreaTable[[#This Row],[Quantity (KG)]],0)</f>
        <v>67.974001299123103</v>
      </c>
      <c r="O169" s="16" t="str">
        <f>IF(COUNTIF(A:A, A169)&gt;1, "Duplicate ID", IF(H169=0, "Quantity 0", IF(ISNA(VLOOKUP(C169, Master_Importer!$A:$B, 2, FALSE)), "Unmapped Importer", "OK")))</f>
        <v>OK</v>
      </c>
      <c r="P169" s="18"/>
      <c r="Q169" s="18"/>
    </row>
    <row r="170" spans="1:17">
      <c r="A170" t="s">
        <v>235</v>
      </c>
      <c r="B170" s="3">
        <v>46180</v>
      </c>
      <c r="C170" t="s">
        <v>108</v>
      </c>
      <c r="D170" t="s">
        <v>22</v>
      </c>
      <c r="E170" t="s">
        <v>23</v>
      </c>
      <c r="F170" t="s">
        <v>32</v>
      </c>
      <c r="G170" t="s">
        <v>33</v>
      </c>
      <c r="H170" s="4">
        <v>832</v>
      </c>
      <c r="I170" s="5">
        <v>35425.660000000003</v>
      </c>
      <c r="J170" s="7" t="str">
        <f>IFERROR(VLOOKUP(C170, Master_Importer!$A:$B, 2, FALSE), "Unmapped Importer")</f>
        <v>PT Citra Spinning</v>
      </c>
      <c r="K170" s="7" t="str">
        <f>VLOOKUP(E170,CountryMapTable[#All],2,FALSE)</f>
        <v>India</v>
      </c>
      <c r="L170" s="7">
        <f t="shared" si="10"/>
        <v>2026</v>
      </c>
      <c r="M170" s="7">
        <f t="shared" si="11"/>
        <v>6</v>
      </c>
      <c r="N170" s="12">
        <f>IFERROR(WorkAreaTable[[#This Row],[Import Value (USD)]]/WorkAreaTable[[#This Row],[Quantity (KG)]],0)</f>
        <v>42.578918269230776</v>
      </c>
      <c r="O170" s="16" t="str">
        <f>IF(COUNTIF(A:A, A170)&gt;1, "Duplicate ID", IF(H170=0, "Quantity 0", IF(ISNA(VLOOKUP(C170, Master_Importer!$A:$B, 2, FALSE)), "Unmapped Importer", "OK")))</f>
        <v>OK</v>
      </c>
      <c r="P170" s="18"/>
      <c r="Q170" s="18"/>
    </row>
    <row r="171" spans="1:17">
      <c r="A171" t="s">
        <v>236</v>
      </c>
      <c r="B171" s="3">
        <v>46237</v>
      </c>
      <c r="C171" t="s">
        <v>73</v>
      </c>
      <c r="D171" t="s">
        <v>28</v>
      </c>
      <c r="E171" t="s">
        <v>29</v>
      </c>
      <c r="F171" t="s">
        <v>32</v>
      </c>
      <c r="G171" t="s">
        <v>33</v>
      </c>
      <c r="H171" s="4">
        <v>1020</v>
      </c>
      <c r="I171" s="5">
        <v>33208.47</v>
      </c>
      <c r="J171" s="7" t="str">
        <f>IFERROR(VLOOKUP(C171, Master_Importer!$A:$B, 2, FALSE), "Unmapped Importer")</f>
        <v>PT Gemilang Textile</v>
      </c>
      <c r="K171" s="7" t="str">
        <f>VLOOKUP(E171,CountryMapTable[#All],2,FALSE)</f>
        <v>Germany</v>
      </c>
      <c r="L171" s="7">
        <f t="shared" si="10"/>
        <v>2026</v>
      </c>
      <c r="M171" s="7">
        <f t="shared" si="11"/>
        <v>8</v>
      </c>
      <c r="N171" s="12">
        <f>IFERROR(WorkAreaTable[[#This Row],[Import Value (USD)]]/WorkAreaTable[[#This Row],[Quantity (KG)]],0)</f>
        <v>32.557323529411768</v>
      </c>
      <c r="O171" s="16" t="str">
        <f>IF(COUNTIF(A:A, A171)&gt;1, "Duplicate ID", IF(H171=0, "Quantity 0", IF(ISNA(VLOOKUP(C171, Master_Importer!$A:$B, 2, FALSE)), "Unmapped Importer", "OK")))</f>
        <v>OK</v>
      </c>
      <c r="P171" s="18"/>
      <c r="Q171" s="18"/>
    </row>
    <row r="172" spans="1:17">
      <c r="A172" t="s">
        <v>237</v>
      </c>
      <c r="B172" s="3">
        <v>46136</v>
      </c>
      <c r="C172" t="s">
        <v>238</v>
      </c>
      <c r="D172" t="s">
        <v>11</v>
      </c>
      <c r="E172" t="s">
        <v>12</v>
      </c>
      <c r="F172" t="s">
        <v>45</v>
      </c>
      <c r="G172" t="s">
        <v>46</v>
      </c>
      <c r="H172" s="4">
        <v>2497</v>
      </c>
      <c r="I172" s="5">
        <v>66353.13</v>
      </c>
      <c r="J172" s="7" t="str">
        <f>IFERROR(VLOOKUP(C172, Master_Importer!$A:$B, 2, FALSE), "Unmapped Importer")</f>
        <v>PT Fajar Knitting</v>
      </c>
      <c r="K172" s="7" t="str">
        <f>VLOOKUP(E172,CountryMapTable[#All],2,FALSE)</f>
        <v>Japan</v>
      </c>
      <c r="L172" s="7">
        <f t="shared" si="10"/>
        <v>2026</v>
      </c>
      <c r="M172" s="7">
        <f t="shared" si="11"/>
        <v>4</v>
      </c>
      <c r="N172" s="12">
        <f>IFERROR(WorkAreaTable[[#This Row],[Import Value (USD)]]/WorkAreaTable[[#This Row],[Quantity (KG)]],0)</f>
        <v>26.573139767721269</v>
      </c>
      <c r="O172" s="16" t="str">
        <f>IF(COUNTIF(A:A, A172)&gt;1, "Duplicate ID", IF(H172=0, "Quantity 0", IF(ISNA(VLOOKUP(C172, Master_Importer!$A:$B, 2, FALSE)), "Unmapped Importer", "OK")))</f>
        <v>OK</v>
      </c>
      <c r="P172" s="18"/>
      <c r="Q172" s="18"/>
    </row>
    <row r="173" spans="1:17">
      <c r="A173" t="s">
        <v>239</v>
      </c>
      <c r="B173" s="3">
        <v>46183</v>
      </c>
      <c r="C173" t="s">
        <v>214</v>
      </c>
      <c r="D173" t="s">
        <v>67</v>
      </c>
      <c r="E173" t="s">
        <v>50</v>
      </c>
      <c r="F173" t="s">
        <v>45</v>
      </c>
      <c r="G173" t="s">
        <v>46</v>
      </c>
      <c r="H173" s="4">
        <v>1564</v>
      </c>
      <c r="I173" s="5">
        <v>46831.5</v>
      </c>
      <c r="J173" s="7" t="str">
        <f>IFERROR(VLOOKUP(C173, Master_Importer!$A:$B, 2, FALSE), "Unmapped Importer")</f>
        <v>Unmapped Importer</v>
      </c>
      <c r="K173" s="7" t="str">
        <f>VLOOKUP(E173,CountryMapTable[#All],2,FALSE)</f>
        <v>China</v>
      </c>
      <c r="L173" s="7">
        <f t="shared" si="10"/>
        <v>2026</v>
      </c>
      <c r="M173" s="7">
        <f t="shared" si="11"/>
        <v>6</v>
      </c>
      <c r="N173" s="12">
        <f>IFERROR(WorkAreaTable[[#This Row],[Import Value (USD)]]/WorkAreaTable[[#This Row],[Quantity (KG)]],0)</f>
        <v>29.943414322250639</v>
      </c>
      <c r="O173" s="16" t="str">
        <f>IF(COUNTIF(A:A, A173)&gt;1, "Duplicate ID", IF(H173=0, "Quantity 0", IF(ISNA(VLOOKUP(C173, Master_Importer!$A:$B, 2, FALSE)), "Unmapped Importer", "OK")))</f>
        <v>Unmapped Importer</v>
      </c>
      <c r="P173" s="18"/>
      <c r="Q173" s="18"/>
    </row>
    <row r="174" spans="1:17">
      <c r="A174" t="s">
        <v>240</v>
      </c>
      <c r="B174" s="3">
        <v>46182</v>
      </c>
      <c r="C174" t="s">
        <v>108</v>
      </c>
      <c r="D174" t="s">
        <v>49</v>
      </c>
      <c r="E174" t="s">
        <v>50</v>
      </c>
      <c r="F174" t="s">
        <v>45</v>
      </c>
      <c r="G174" t="s">
        <v>46</v>
      </c>
      <c r="H174" s="4">
        <v>1079</v>
      </c>
      <c r="I174" s="5">
        <v>24493.54</v>
      </c>
      <c r="J174" s="7" t="str">
        <f>IFERROR(VLOOKUP(C174, Master_Importer!$A:$B, 2, FALSE), "Unmapped Importer")</f>
        <v>PT Citra Spinning</v>
      </c>
      <c r="K174" s="7" t="str">
        <f>VLOOKUP(E174,CountryMapTable[#All],2,FALSE)</f>
        <v>China</v>
      </c>
      <c r="L174" s="7">
        <f t="shared" si="10"/>
        <v>2026</v>
      </c>
      <c r="M174" s="7">
        <f t="shared" si="11"/>
        <v>6</v>
      </c>
      <c r="N174" s="12">
        <f>IFERROR(WorkAreaTable[[#This Row],[Import Value (USD)]]/WorkAreaTable[[#This Row],[Quantity (KG)]],0)</f>
        <v>22.700222428174236</v>
      </c>
      <c r="O174" s="16" t="str">
        <f>IF(COUNTIF(A:A, A174)&gt;1, "Duplicate ID", IF(H174=0, "Quantity 0", IF(ISNA(VLOOKUP(C174, Master_Importer!$A:$B, 2, FALSE)), "Unmapped Importer", "OK")))</f>
        <v>OK</v>
      </c>
      <c r="P174" s="18"/>
      <c r="Q174" s="18"/>
    </row>
    <row r="175" spans="1:17">
      <c r="A175" t="s">
        <v>241</v>
      </c>
      <c r="B175" s="3">
        <v>46257</v>
      </c>
      <c r="C175" t="s">
        <v>56</v>
      </c>
      <c r="D175" t="s">
        <v>36</v>
      </c>
      <c r="E175" t="s">
        <v>37</v>
      </c>
      <c r="F175" t="s">
        <v>45</v>
      </c>
      <c r="G175" t="s">
        <v>46</v>
      </c>
      <c r="H175" s="4">
        <v>1289</v>
      </c>
      <c r="I175" s="5">
        <v>47837.33</v>
      </c>
      <c r="J175" s="7" t="str">
        <f>IFERROR(VLOOKUP(C175, Master_Importer!$A:$B, 2, FALSE), "Unmapped Importer")</f>
        <v>PT Eka Textile</v>
      </c>
      <c r="K175" s="7" t="str">
        <f>VLOOKUP(E175,CountryMapTable[#All],2,FALSE)</f>
        <v>Türkiye</v>
      </c>
      <c r="L175" s="7">
        <f t="shared" si="10"/>
        <v>2026</v>
      </c>
      <c r="M175" s="7">
        <f t="shared" si="11"/>
        <v>8</v>
      </c>
      <c r="N175" s="12">
        <f>IFERROR(WorkAreaTable[[#This Row],[Import Value (USD)]]/WorkAreaTable[[#This Row],[Quantity (KG)]],0)</f>
        <v>37.11197051978278</v>
      </c>
      <c r="O175" s="16" t="str">
        <f>IF(COUNTIF(A:A, A175)&gt;1, "Duplicate ID", IF(H175=0, "Quantity 0", IF(ISNA(VLOOKUP(C175, Master_Importer!$A:$B, 2, FALSE)), "Unmapped Importer", "OK")))</f>
        <v>OK</v>
      </c>
      <c r="P175" s="18"/>
      <c r="Q175" s="18"/>
    </row>
    <row r="176" spans="1:17">
      <c r="A176" t="s">
        <v>242</v>
      </c>
      <c r="B176" s="3">
        <v>46257</v>
      </c>
      <c r="C176" t="s">
        <v>73</v>
      </c>
      <c r="D176" t="s">
        <v>57</v>
      </c>
      <c r="E176" t="s">
        <v>37</v>
      </c>
      <c r="F176" t="s">
        <v>45</v>
      </c>
      <c r="G176" t="s">
        <v>46</v>
      </c>
      <c r="H176" s="4">
        <v>1256</v>
      </c>
      <c r="I176" s="5">
        <v>42999.98</v>
      </c>
      <c r="J176" s="7" t="str">
        <f>IFERROR(VLOOKUP(C176, Master_Importer!$A:$B, 2, FALSE), "Unmapped Importer")</f>
        <v>PT Gemilang Textile</v>
      </c>
      <c r="K176" s="7" t="str">
        <f>VLOOKUP(E176,CountryMapTable[#All],2,FALSE)</f>
        <v>Türkiye</v>
      </c>
      <c r="L176" s="7">
        <f t="shared" si="10"/>
        <v>2026</v>
      </c>
      <c r="M176" s="7">
        <f t="shared" si="11"/>
        <v>8</v>
      </c>
      <c r="N176" s="12">
        <f>IFERROR(WorkAreaTable[[#This Row],[Import Value (USD)]]/WorkAreaTable[[#This Row],[Quantity (KG)]],0)</f>
        <v>34.235652866242042</v>
      </c>
      <c r="O176" s="16" t="str">
        <f>IF(COUNTIF(A:A, A176)&gt;1, "Duplicate ID", IF(H176=0, "Quantity 0", IF(ISNA(VLOOKUP(C176, Master_Importer!$A:$B, 2, FALSE)), "Unmapped Importer", "OK")))</f>
        <v>OK</v>
      </c>
      <c r="P176" s="18"/>
      <c r="Q176" s="18"/>
    </row>
    <row r="177" spans="1:17">
      <c r="A177" t="s">
        <v>243</v>
      </c>
      <c r="B177" s="3">
        <v>46231</v>
      </c>
      <c r="C177" t="s">
        <v>78</v>
      </c>
      <c r="D177" t="s">
        <v>36</v>
      </c>
      <c r="E177" t="s">
        <v>37</v>
      </c>
      <c r="F177" t="s">
        <v>41</v>
      </c>
      <c r="G177" t="s">
        <v>42</v>
      </c>
      <c r="H177" s="4">
        <v>594</v>
      </c>
      <c r="I177" s="5">
        <v>19169.64</v>
      </c>
      <c r="J177" s="7" t="str">
        <f>IFERROR(VLOOKUP(C177, Master_Importer!$A:$B, 2, FALSE), "Unmapped Importer")</f>
        <v>PT Aruna Textile</v>
      </c>
      <c r="K177" s="7" t="str">
        <f>VLOOKUP(E177,CountryMapTable[#All],2,FALSE)</f>
        <v>Türkiye</v>
      </c>
      <c r="L177" s="7">
        <f t="shared" si="10"/>
        <v>2026</v>
      </c>
      <c r="M177" s="7">
        <f t="shared" si="11"/>
        <v>7</v>
      </c>
      <c r="N177" s="12">
        <f>IFERROR(WorkAreaTable[[#This Row],[Import Value (USD)]]/WorkAreaTable[[#This Row],[Quantity (KG)]],0)</f>
        <v>32.272121212121213</v>
      </c>
      <c r="O177" s="16" t="str">
        <f>IF(COUNTIF(A:A, A177)&gt;1, "Duplicate ID", IF(H177=0, "Quantity 0", IF(ISNA(VLOOKUP(C177, Master_Importer!$A:$B, 2, FALSE)), "Unmapped Importer", "OK")))</f>
        <v>OK</v>
      </c>
      <c r="P177" s="18"/>
      <c r="Q177" s="18"/>
    </row>
    <row r="178" spans="1:17">
      <c r="A178" t="s">
        <v>244</v>
      </c>
      <c r="B178" s="3">
        <v>46259</v>
      </c>
      <c r="C178" t="s">
        <v>108</v>
      </c>
      <c r="D178" t="s">
        <v>49</v>
      </c>
      <c r="E178" t="s">
        <v>50</v>
      </c>
      <c r="F178" t="s">
        <v>13</v>
      </c>
      <c r="G178" t="s">
        <v>14</v>
      </c>
      <c r="H178" s="4">
        <v>1001</v>
      </c>
      <c r="I178" s="5">
        <v>53771.11</v>
      </c>
      <c r="J178" s="7" t="str">
        <f>IFERROR(VLOOKUP(C178, Master_Importer!$A:$B, 2, FALSE), "Unmapped Importer")</f>
        <v>PT Citra Spinning</v>
      </c>
      <c r="K178" s="7" t="str">
        <f>VLOOKUP(E178,CountryMapTable[#All],2,FALSE)</f>
        <v>China</v>
      </c>
      <c r="L178" s="7">
        <f t="shared" si="10"/>
        <v>2026</v>
      </c>
      <c r="M178" s="7">
        <f t="shared" si="11"/>
        <v>8</v>
      </c>
      <c r="N178" s="12">
        <f>IFERROR(WorkAreaTable[[#This Row],[Import Value (USD)]]/WorkAreaTable[[#This Row],[Quantity (KG)]],0)</f>
        <v>53.717392607392611</v>
      </c>
      <c r="O178" s="16" t="str">
        <f>IF(COUNTIF(A:A, A178)&gt;1, "Duplicate ID", IF(H178=0, "Quantity 0", IF(ISNA(VLOOKUP(C178, Master_Importer!$A:$B, 2, FALSE)), "Unmapped Importer", "OK")))</f>
        <v>OK</v>
      </c>
      <c r="P178" s="18"/>
      <c r="Q178" s="18"/>
    </row>
    <row r="179" spans="1:17">
      <c r="A179" t="s">
        <v>245</v>
      </c>
      <c r="B179" s="3">
        <v>46220</v>
      </c>
      <c r="C179" t="s">
        <v>106</v>
      </c>
      <c r="D179" t="s">
        <v>65</v>
      </c>
      <c r="E179" t="s">
        <v>29</v>
      </c>
      <c r="F179" t="s">
        <v>45</v>
      </c>
      <c r="G179" t="s">
        <v>46</v>
      </c>
      <c r="H179" s="4">
        <v>887</v>
      </c>
      <c r="I179" s="5">
        <v>34482.31</v>
      </c>
      <c r="J179" s="7" t="str">
        <f>IFERROR(VLOOKUP(C179, Master_Importer!$A:$B, 2, FALSE), "Unmapped Importer")</f>
        <v>PT Bintang Weaving</v>
      </c>
      <c r="K179" s="7" t="str">
        <f>VLOOKUP(E179,CountryMapTable[#All],2,FALSE)</f>
        <v>Germany</v>
      </c>
      <c r="L179" s="7">
        <f t="shared" si="10"/>
        <v>2026</v>
      </c>
      <c r="M179" s="7">
        <f t="shared" si="11"/>
        <v>7</v>
      </c>
      <c r="N179" s="12">
        <f>IFERROR(WorkAreaTable[[#This Row],[Import Value (USD)]]/WorkAreaTable[[#This Row],[Quantity (KG)]],0)</f>
        <v>38.875208568207441</v>
      </c>
      <c r="O179" s="16" t="str">
        <f>IF(COUNTIF(A:A, A179)&gt;1, "Duplicate ID", IF(H179=0, "Quantity 0", IF(ISNA(VLOOKUP(C179, Master_Importer!$A:$B, 2, FALSE)), "Unmapped Importer", "OK")))</f>
        <v>OK</v>
      </c>
      <c r="P179" s="18"/>
      <c r="Q179" s="18"/>
    </row>
    <row r="180" spans="1:17">
      <c r="A180" t="s">
        <v>246</v>
      </c>
      <c r="B180" s="3">
        <v>46230</v>
      </c>
      <c r="C180" t="s">
        <v>106</v>
      </c>
      <c r="D180" t="s">
        <v>67</v>
      </c>
      <c r="E180" t="s">
        <v>50</v>
      </c>
      <c r="F180" t="s">
        <v>41</v>
      </c>
      <c r="G180" t="s">
        <v>42</v>
      </c>
      <c r="H180" s="4">
        <v>645</v>
      </c>
      <c r="I180" s="5">
        <v>21570.85</v>
      </c>
      <c r="J180" s="7" t="str">
        <f>IFERROR(VLOOKUP(C180, Master_Importer!$A:$B, 2, FALSE), "Unmapped Importer")</f>
        <v>PT Bintang Weaving</v>
      </c>
      <c r="K180" s="7" t="str">
        <f>VLOOKUP(E180,CountryMapTable[#All],2,FALSE)</f>
        <v>China</v>
      </c>
      <c r="L180" s="7">
        <f t="shared" si="10"/>
        <v>2026</v>
      </c>
      <c r="M180" s="7">
        <f t="shared" si="11"/>
        <v>7</v>
      </c>
      <c r="N180" s="12">
        <f>IFERROR(WorkAreaTable[[#This Row],[Import Value (USD)]]/WorkAreaTable[[#This Row],[Quantity (KG)]],0)</f>
        <v>33.443178294573642</v>
      </c>
      <c r="O180" s="16" t="str">
        <f>IF(COUNTIF(A:A, A180)&gt;1, "Duplicate ID", IF(H180=0, "Quantity 0", IF(ISNA(VLOOKUP(C180, Master_Importer!$A:$B, 2, FALSE)), "Unmapped Importer", "OK")))</f>
        <v>OK</v>
      </c>
      <c r="P180" s="18"/>
      <c r="Q180" s="18"/>
    </row>
    <row r="181" spans="1:17">
      <c r="A181" t="s">
        <v>247</v>
      </c>
      <c r="B181" s="3">
        <v>46209</v>
      </c>
      <c r="C181" t="s">
        <v>25</v>
      </c>
      <c r="D181" t="s">
        <v>11</v>
      </c>
      <c r="E181" t="s">
        <v>12</v>
      </c>
      <c r="F181" t="s">
        <v>18</v>
      </c>
      <c r="G181" t="s">
        <v>19</v>
      </c>
      <c r="H181" s="4">
        <v>766</v>
      </c>
      <c r="I181" s="5">
        <v>31965.35</v>
      </c>
      <c r="J181" s="7" t="str">
        <f>IFERROR(VLOOKUP(C181, Master_Importer!$A:$B, 2, FALSE), "Unmapped Importer")</f>
        <v>PT Aruna Textile</v>
      </c>
      <c r="K181" s="7" t="str">
        <f>VLOOKUP(E181,CountryMapTable[#All],2,FALSE)</f>
        <v>Japan</v>
      </c>
      <c r="L181" s="7">
        <f t="shared" si="10"/>
        <v>2026</v>
      </c>
      <c r="M181" s="7">
        <f t="shared" si="11"/>
        <v>7</v>
      </c>
      <c r="N181" s="12">
        <f>IFERROR(WorkAreaTable[[#This Row],[Import Value (USD)]]/WorkAreaTable[[#This Row],[Quantity (KG)]],0)</f>
        <v>41.73022193211488</v>
      </c>
      <c r="O181" s="16" t="str">
        <f>IF(COUNTIF(A:A, A181)&gt;1, "Duplicate ID", IF(H181=0, "Quantity 0", IF(ISNA(VLOOKUP(C181, Master_Importer!$A:$B, 2, FALSE)), "Unmapped Importer", "OK")))</f>
        <v>OK</v>
      </c>
      <c r="P181" s="18"/>
      <c r="Q181" s="18"/>
    </row>
    <row r="182" spans="1:17">
      <c r="A182" t="s">
        <v>248</v>
      </c>
      <c r="B182" s="3">
        <v>46227</v>
      </c>
      <c r="C182" t="s">
        <v>89</v>
      </c>
      <c r="D182" t="s">
        <v>67</v>
      </c>
      <c r="E182" t="s">
        <v>50</v>
      </c>
      <c r="F182" t="s">
        <v>41</v>
      </c>
      <c r="G182" t="s">
        <v>42</v>
      </c>
      <c r="H182" s="4">
        <v>2282</v>
      </c>
      <c r="I182" s="5">
        <v>108541.12</v>
      </c>
      <c r="J182" s="7" t="str">
        <f>IFERROR(VLOOKUP(C182, Master_Importer!$A:$B, 2, FALSE), "Unmapped Importer")</f>
        <v>PT Bintang Weaving</v>
      </c>
      <c r="K182" s="7" t="str">
        <f>VLOOKUP(E182,CountryMapTable[#All],2,FALSE)</f>
        <v>China</v>
      </c>
      <c r="L182" s="7">
        <f t="shared" si="10"/>
        <v>2026</v>
      </c>
      <c r="M182" s="7">
        <f t="shared" si="11"/>
        <v>7</v>
      </c>
      <c r="N182" s="12">
        <f>IFERROR(WorkAreaTable[[#This Row],[Import Value (USD)]]/WorkAreaTable[[#This Row],[Quantity (KG)]],0)</f>
        <v>47.564031551270816</v>
      </c>
      <c r="O182" s="16" t="str">
        <f>IF(COUNTIF(A:A, A182)&gt;1, "Duplicate ID", IF(H182=0, "Quantity 0", IF(ISNA(VLOOKUP(C182, Master_Importer!$A:$B, 2, FALSE)), "Unmapped Importer", "OK")))</f>
        <v>OK</v>
      </c>
      <c r="P182" s="18"/>
      <c r="Q182" s="18"/>
    </row>
    <row r="183" spans="1:17">
      <c r="A183" t="s">
        <v>249</v>
      </c>
      <c r="B183" s="3">
        <v>46116</v>
      </c>
      <c r="C183" t="s">
        <v>21</v>
      </c>
      <c r="D183" t="s">
        <v>28</v>
      </c>
      <c r="E183" t="s">
        <v>29</v>
      </c>
      <c r="F183" t="s">
        <v>18</v>
      </c>
      <c r="G183" t="s">
        <v>19</v>
      </c>
      <c r="H183" s="4">
        <v>1850</v>
      </c>
      <c r="I183" s="5">
        <v>114526.56</v>
      </c>
      <c r="J183" s="7" t="str">
        <f>IFERROR(VLOOKUP(C183, Master_Importer!$A:$B, 2, FALSE), "Unmapped Importer")</f>
        <v>PT Gemilang Textile</v>
      </c>
      <c r="K183" s="7" t="str">
        <f>VLOOKUP(E183,CountryMapTable[#All],2,FALSE)</f>
        <v>Germany</v>
      </c>
      <c r="L183" s="7">
        <f t="shared" si="10"/>
        <v>2026</v>
      </c>
      <c r="M183" s="7">
        <f t="shared" si="11"/>
        <v>4</v>
      </c>
      <c r="N183" s="12">
        <f>IFERROR(WorkAreaTable[[#This Row],[Import Value (USD)]]/WorkAreaTable[[#This Row],[Quantity (KG)]],0)</f>
        <v>61.906248648648649</v>
      </c>
      <c r="O183" s="16" t="str">
        <f>IF(COUNTIF(A:A, A183)&gt;1, "Duplicate ID", IF(H183=0, "Quantity 0", IF(ISNA(VLOOKUP(C183, Master_Importer!$A:$B, 2, FALSE)), "Unmapped Importer", "OK")))</f>
        <v>OK</v>
      </c>
      <c r="P183" s="18"/>
      <c r="Q183" s="18"/>
    </row>
    <row r="184" spans="1:17">
      <c r="A184" t="s">
        <v>250</v>
      </c>
      <c r="B184" s="3">
        <v>46127</v>
      </c>
      <c r="C184" t="s">
        <v>25</v>
      </c>
      <c r="D184" t="s">
        <v>17</v>
      </c>
      <c r="E184" t="s">
        <v>12</v>
      </c>
      <c r="F184" t="s">
        <v>32</v>
      </c>
      <c r="G184" t="s">
        <v>33</v>
      </c>
      <c r="H184" s="4">
        <v>2815</v>
      </c>
      <c r="I184" s="5">
        <v>95096.36</v>
      </c>
      <c r="J184" s="7" t="str">
        <f>IFERROR(VLOOKUP(C184, Master_Importer!$A:$B, 2, FALSE), "Unmapped Importer")</f>
        <v>PT Aruna Textile</v>
      </c>
      <c r="K184" s="7" t="str">
        <f>VLOOKUP(E184,CountryMapTable[#All],2,FALSE)</f>
        <v>Japan</v>
      </c>
      <c r="L184" s="7">
        <f t="shared" si="10"/>
        <v>2026</v>
      </c>
      <c r="M184" s="7">
        <f t="shared" si="11"/>
        <v>4</v>
      </c>
      <c r="N184" s="12">
        <f>IFERROR(WorkAreaTable[[#This Row],[Import Value (USD)]]/WorkAreaTable[[#This Row],[Quantity (KG)]],0)</f>
        <v>33.782010657193609</v>
      </c>
      <c r="O184" s="16" t="str">
        <f>IF(COUNTIF(A:A, A184)&gt;1, "Duplicate ID", IF(H184=0, "Quantity 0", IF(ISNA(VLOOKUP(C184, Master_Importer!$A:$B, 2, FALSE)), "Unmapped Importer", "OK")))</f>
        <v>OK</v>
      </c>
      <c r="P184" s="18"/>
      <c r="Q184" s="18"/>
    </row>
    <row r="185" spans="1:17">
      <c r="A185" t="s">
        <v>251</v>
      </c>
      <c r="B185" s="3">
        <v>46031</v>
      </c>
      <c r="C185" t="s">
        <v>27</v>
      </c>
      <c r="D185" t="s">
        <v>36</v>
      </c>
      <c r="E185" t="s">
        <v>37</v>
      </c>
      <c r="F185" t="s">
        <v>45</v>
      </c>
      <c r="G185" t="s">
        <v>46</v>
      </c>
      <c r="H185" s="4">
        <v>914</v>
      </c>
      <c r="I185" s="5">
        <v>35720.629999999997</v>
      </c>
      <c r="J185" s="7" t="str">
        <f>IFERROR(VLOOKUP(C185, Master_Importer!$A:$B, 2, FALSE), "Unmapped Importer")</f>
        <v>PT Eka Textile</v>
      </c>
      <c r="K185" s="7" t="str">
        <f>VLOOKUP(E185,CountryMapTable[#All],2,FALSE)</f>
        <v>Türkiye</v>
      </c>
      <c r="L185" s="7">
        <f t="shared" si="10"/>
        <v>2026</v>
      </c>
      <c r="M185" s="7">
        <f t="shared" si="11"/>
        <v>1</v>
      </c>
      <c r="N185" s="12">
        <f>IFERROR(WorkAreaTable[[#This Row],[Import Value (USD)]]/WorkAreaTable[[#This Row],[Quantity (KG)]],0)</f>
        <v>39.081652078774617</v>
      </c>
      <c r="O185" s="16" t="str">
        <f>IF(COUNTIF(A:A, A185)&gt;1, "Duplicate ID", IF(H185=0, "Quantity 0", IF(ISNA(VLOOKUP(C185, Master_Importer!$A:$B, 2, FALSE)), "Unmapped Importer", "OK")))</f>
        <v>OK</v>
      </c>
      <c r="P185" s="18"/>
      <c r="Q185" s="18"/>
    </row>
    <row r="186" spans="1:17">
      <c r="A186" t="s">
        <v>252</v>
      </c>
      <c r="B186" s="3">
        <v>46249</v>
      </c>
      <c r="C186" t="s">
        <v>78</v>
      </c>
      <c r="D186" t="s">
        <v>17</v>
      </c>
      <c r="E186" t="s">
        <v>12</v>
      </c>
      <c r="F186" t="s">
        <v>18</v>
      </c>
      <c r="G186" t="s">
        <v>19</v>
      </c>
      <c r="H186" s="4">
        <v>804</v>
      </c>
      <c r="I186" s="5">
        <v>50304.93</v>
      </c>
      <c r="J186" s="7" t="str">
        <f>IFERROR(VLOOKUP(C186, Master_Importer!$A:$B, 2, FALSE), "Unmapped Importer")</f>
        <v>PT Aruna Textile</v>
      </c>
      <c r="K186" s="7" t="str">
        <f>VLOOKUP(E186,CountryMapTable[#All],2,FALSE)</f>
        <v>Japan</v>
      </c>
      <c r="L186" s="7">
        <f t="shared" si="10"/>
        <v>2026</v>
      </c>
      <c r="M186" s="7">
        <f t="shared" si="11"/>
        <v>8</v>
      </c>
      <c r="N186" s="12">
        <f>IFERROR(WorkAreaTable[[#This Row],[Import Value (USD)]]/WorkAreaTable[[#This Row],[Quantity (KG)]],0)</f>
        <v>62.56832089552239</v>
      </c>
      <c r="O186" s="16" t="str">
        <f>IF(COUNTIF(A:A, A186)&gt;1, "Duplicate ID", IF(H186=0, "Quantity 0", IF(ISNA(VLOOKUP(C186, Master_Importer!$A:$B, 2, FALSE)), "Unmapped Importer", "OK")))</f>
        <v>OK</v>
      </c>
      <c r="P186" s="18"/>
      <c r="Q186" s="18"/>
    </row>
    <row r="187" spans="1:17">
      <c r="A187" t="s">
        <v>253</v>
      </c>
      <c r="B187" s="3">
        <v>46066</v>
      </c>
      <c r="C187" t="s">
        <v>112</v>
      </c>
      <c r="D187" t="s">
        <v>11</v>
      </c>
      <c r="E187" t="s">
        <v>12</v>
      </c>
      <c r="F187" t="s">
        <v>41</v>
      </c>
      <c r="G187" t="s">
        <v>42</v>
      </c>
      <c r="H187" s="4">
        <v>1446</v>
      </c>
      <c r="I187" s="5">
        <v>54203.17</v>
      </c>
      <c r="J187" s="7" t="str">
        <f>IFERROR(VLOOKUP(C187, Master_Importer!$A:$B, 2, FALSE), "Unmapped Importer")</f>
        <v>PT Citra Spinning</v>
      </c>
      <c r="K187" s="7" t="str">
        <f>VLOOKUP(E187,CountryMapTable[#All],2,FALSE)</f>
        <v>Japan</v>
      </c>
      <c r="L187" s="7">
        <f t="shared" si="10"/>
        <v>2026</v>
      </c>
      <c r="M187" s="7">
        <f t="shared" si="11"/>
        <v>2</v>
      </c>
      <c r="N187" s="12">
        <f>IFERROR(WorkAreaTable[[#This Row],[Import Value (USD)]]/WorkAreaTable[[#This Row],[Quantity (KG)]],0)</f>
        <v>37.484903181189487</v>
      </c>
      <c r="O187" s="16" t="str">
        <f>IF(COUNTIF(A:A, A187)&gt;1, "Duplicate ID", IF(H187=0, "Quantity 0", IF(ISNA(VLOOKUP(C187, Master_Importer!$A:$B, 2, FALSE)), "Unmapped Importer", "OK")))</f>
        <v>OK</v>
      </c>
      <c r="P187" s="18"/>
      <c r="Q187" s="18"/>
    </row>
    <row r="188" spans="1:17">
      <c r="A188" t="s">
        <v>254</v>
      </c>
      <c r="B188" s="3">
        <v>46254</v>
      </c>
      <c r="C188" t="s">
        <v>48</v>
      </c>
      <c r="D188" t="s">
        <v>36</v>
      </c>
      <c r="E188" t="s">
        <v>37</v>
      </c>
      <c r="F188" t="s">
        <v>41</v>
      </c>
      <c r="G188" t="s">
        <v>42</v>
      </c>
      <c r="H188" s="4">
        <v>883</v>
      </c>
      <c r="I188" s="5">
        <v>35679.919999999998</v>
      </c>
      <c r="J188" s="7" t="str">
        <f>IFERROR(VLOOKUP(C188, Master_Importer!$A:$B, 2, FALSE), "Unmapped Importer")</f>
        <v>PT Harmoni Spinning</v>
      </c>
      <c r="K188" s="7" t="str">
        <f>VLOOKUP(E188,CountryMapTable[#All],2,FALSE)</f>
        <v>Türkiye</v>
      </c>
      <c r="L188" s="7">
        <f t="shared" si="10"/>
        <v>2026</v>
      </c>
      <c r="M188" s="7">
        <f t="shared" si="11"/>
        <v>8</v>
      </c>
      <c r="N188" s="12">
        <f>IFERROR(WorkAreaTable[[#This Row],[Import Value (USD)]]/WorkAreaTable[[#This Row],[Quantity (KG)]],0)</f>
        <v>40.407610419026042</v>
      </c>
      <c r="O188" s="16" t="str">
        <f>IF(COUNTIF(A:A, A188)&gt;1, "Duplicate ID", IF(H188=0, "Quantity 0", IF(ISNA(VLOOKUP(C188, Master_Importer!$A:$B, 2, FALSE)), "Unmapped Importer", "OK")))</f>
        <v>OK</v>
      </c>
      <c r="P188" s="18"/>
      <c r="Q188" s="18"/>
    </row>
    <row r="189" spans="1:17">
      <c r="A189" t="s">
        <v>255</v>
      </c>
      <c r="B189" s="3">
        <v>46077</v>
      </c>
      <c r="C189" t="s">
        <v>108</v>
      </c>
      <c r="D189" t="s">
        <v>17</v>
      </c>
      <c r="E189" t="s">
        <v>12</v>
      </c>
      <c r="F189" t="s">
        <v>51</v>
      </c>
      <c r="G189" t="s">
        <v>52</v>
      </c>
      <c r="H189" s="4">
        <v>923</v>
      </c>
      <c r="I189" s="5">
        <v>111287.18</v>
      </c>
      <c r="J189" s="7" t="str">
        <f>IFERROR(VLOOKUP(C189, Master_Importer!$A:$B, 2, FALSE), "Unmapped Importer")</f>
        <v>PT Citra Spinning</v>
      </c>
      <c r="K189" s="7" t="str">
        <f>VLOOKUP(E189,CountryMapTable[#All],2,FALSE)</f>
        <v>Japan</v>
      </c>
      <c r="L189" s="7">
        <f t="shared" si="10"/>
        <v>2026</v>
      </c>
      <c r="M189" s="7">
        <f t="shared" si="11"/>
        <v>2</v>
      </c>
      <c r="N189" s="12">
        <f>IFERROR(WorkAreaTable[[#This Row],[Import Value (USD)]]/WorkAreaTable[[#This Row],[Quantity (KG)]],0)</f>
        <v>120.57115926327194</v>
      </c>
      <c r="O189" s="16" t="str">
        <f>IF(COUNTIF(A:A, A189)&gt;1, "Duplicate ID", IF(H189=0, "Quantity 0", IF(ISNA(VLOOKUP(C189, Master_Importer!$A:$B, 2, FALSE)), "Unmapped Importer", "OK")))</f>
        <v>OK</v>
      </c>
      <c r="P189" s="18"/>
      <c r="Q189" s="18"/>
    </row>
    <row r="190" spans="1:17">
      <c r="A190" t="s">
        <v>256</v>
      </c>
      <c r="B190" s="3">
        <v>46155</v>
      </c>
      <c r="C190" t="s">
        <v>108</v>
      </c>
      <c r="D190" t="s">
        <v>40</v>
      </c>
      <c r="E190" t="s">
        <v>23</v>
      </c>
      <c r="F190" t="s">
        <v>18</v>
      </c>
      <c r="G190" t="s">
        <v>19</v>
      </c>
      <c r="H190" s="4">
        <v>3713</v>
      </c>
      <c r="I190" s="5">
        <v>155244.26999999999</v>
      </c>
      <c r="J190" s="7" t="str">
        <f>IFERROR(VLOOKUP(C190, Master_Importer!$A:$B, 2, FALSE), "Unmapped Importer")</f>
        <v>PT Citra Spinning</v>
      </c>
      <c r="K190" s="7" t="str">
        <f>VLOOKUP(E190,CountryMapTable[#All],2,FALSE)</f>
        <v>India</v>
      </c>
      <c r="L190" s="7">
        <f t="shared" si="10"/>
        <v>2026</v>
      </c>
      <c r="M190" s="7">
        <f t="shared" si="11"/>
        <v>5</v>
      </c>
      <c r="N190" s="12">
        <f>IFERROR(WorkAreaTable[[#This Row],[Import Value (USD)]]/WorkAreaTable[[#This Row],[Quantity (KG)]],0)</f>
        <v>41.811007271747911</v>
      </c>
      <c r="O190" s="16" t="str">
        <f>IF(COUNTIF(A:A, A190)&gt;1, "Duplicate ID", IF(H190=0, "Quantity 0", IF(ISNA(VLOOKUP(C190, Master_Importer!$A:$B, 2, FALSE)), "Unmapped Importer", "OK")))</f>
        <v>OK</v>
      </c>
      <c r="P190" s="18"/>
      <c r="Q190" s="18"/>
    </row>
    <row r="191" spans="1:17">
      <c r="A191" t="s">
        <v>257</v>
      </c>
      <c r="B191" s="3">
        <v>46139</v>
      </c>
      <c r="C191" t="s">
        <v>78</v>
      </c>
      <c r="D191" t="s">
        <v>40</v>
      </c>
      <c r="E191" t="s">
        <v>23</v>
      </c>
      <c r="F191" t="s">
        <v>45</v>
      </c>
      <c r="G191" t="s">
        <v>46</v>
      </c>
      <c r="H191" s="4">
        <v>1099</v>
      </c>
      <c r="I191" s="5">
        <v>39184.26</v>
      </c>
      <c r="J191" s="7" t="str">
        <f>IFERROR(VLOOKUP(C191, Master_Importer!$A:$B, 2, FALSE), "Unmapped Importer")</f>
        <v>PT Aruna Textile</v>
      </c>
      <c r="K191" s="7" t="str">
        <f>VLOOKUP(E191,CountryMapTable[#All],2,FALSE)</f>
        <v>India</v>
      </c>
      <c r="L191" s="7">
        <f t="shared" si="10"/>
        <v>2026</v>
      </c>
      <c r="M191" s="7">
        <f t="shared" si="11"/>
        <v>4</v>
      </c>
      <c r="N191" s="12">
        <f>IFERROR(WorkAreaTable[[#This Row],[Import Value (USD)]]/WorkAreaTable[[#This Row],[Quantity (KG)]],0)</f>
        <v>35.654467697907194</v>
      </c>
      <c r="O191" s="16" t="str">
        <f>IF(COUNTIF(A:A, A191)&gt;1, "Duplicate ID", IF(H191=0, "Quantity 0", IF(ISNA(VLOOKUP(C191, Master_Importer!$A:$B, 2, FALSE)), "Unmapped Importer", "OK")))</f>
        <v>OK</v>
      </c>
      <c r="P191" s="18"/>
      <c r="Q191" s="18"/>
    </row>
    <row r="192" spans="1:17">
      <c r="A192" t="s">
        <v>68</v>
      </c>
      <c r="B192" s="3">
        <v>45592</v>
      </c>
      <c r="C192" t="s">
        <v>69</v>
      </c>
      <c r="D192" t="s">
        <v>65</v>
      </c>
      <c r="E192" t="s">
        <v>29</v>
      </c>
      <c r="F192" t="s">
        <v>32</v>
      </c>
      <c r="G192" t="s">
        <v>33</v>
      </c>
      <c r="H192" s="4">
        <v>1285</v>
      </c>
      <c r="I192" s="5">
        <v>47390.78</v>
      </c>
      <c r="J192" s="7" t="str">
        <f>IFERROR(VLOOKUP(C192, Master_Importer!$A:$B, 2, FALSE), "Unmapped Importer")</f>
        <v>PT Harmoni Spinning</v>
      </c>
      <c r="K192" s="7" t="str">
        <f>VLOOKUP(E192,CountryMapTable[#All],2,FALSE)</f>
        <v>Germany</v>
      </c>
      <c r="L192" s="7">
        <f t="shared" si="10"/>
        <v>2024</v>
      </c>
      <c r="M192" s="7">
        <f t="shared" si="11"/>
        <v>10</v>
      </c>
      <c r="N192" s="12">
        <f>IFERROR(WorkAreaTable[[#This Row],[Import Value (USD)]]/WorkAreaTable[[#This Row],[Quantity (KG)]],0)</f>
        <v>36.879984435797667</v>
      </c>
      <c r="O192" s="16" t="str">
        <f>IF(COUNTIF(A:A, A192)&gt;1, "Duplicate ID", IF(H192=0, "Quantity 0", IF(ISNA(VLOOKUP(C192, Master_Importer!$A:$B, 2, FALSE)), "Unmapped Importer", "OK")))</f>
        <v>Duplicate ID</v>
      </c>
      <c r="P192" s="18"/>
      <c r="Q192" s="18"/>
    </row>
    <row r="193" spans="1:17">
      <c r="A193" t="s">
        <v>161</v>
      </c>
      <c r="B193" s="3">
        <v>45944</v>
      </c>
      <c r="C193" t="s">
        <v>112</v>
      </c>
      <c r="D193" t="s">
        <v>17</v>
      </c>
      <c r="E193" t="s">
        <v>12</v>
      </c>
      <c r="F193" t="s">
        <v>13</v>
      </c>
      <c r="G193" t="s">
        <v>14</v>
      </c>
      <c r="H193" s="4">
        <v>1373</v>
      </c>
      <c r="I193" s="5">
        <v>106091.96</v>
      </c>
      <c r="J193" s="7" t="str">
        <f>IFERROR(VLOOKUP(C193, Master_Importer!$A:$B, 2, FALSE), "Unmapped Importer")</f>
        <v>PT Citra Spinning</v>
      </c>
      <c r="K193" s="7" t="str">
        <f>VLOOKUP(E193,CountryMapTable[#All],2,FALSE)</f>
        <v>Japan</v>
      </c>
      <c r="L193" s="7">
        <f t="shared" si="10"/>
        <v>2025</v>
      </c>
      <c r="M193" s="7">
        <f t="shared" si="11"/>
        <v>10</v>
      </c>
      <c r="N193" s="12">
        <f>IFERROR(WorkAreaTable[[#This Row],[Import Value (USD)]]/WorkAreaTable[[#This Row],[Quantity (KG)]],0)</f>
        <v>77.270182083029866</v>
      </c>
      <c r="O193" s="16" t="str">
        <f>IF(COUNTIF(A:A, A193)&gt;1, "Duplicate ID", IF(H193=0, "Quantity 0", IF(ISNA(VLOOKUP(C193, Master_Importer!$A:$B, 2, FALSE)), "Unmapped Importer", "OK")))</f>
        <v>Duplicate ID</v>
      </c>
      <c r="P193" s="18"/>
      <c r="Q193" s="18"/>
    </row>
    <row r="194" spans="1:17">
      <c r="A194" t="s">
        <v>232</v>
      </c>
      <c r="B194" s="3">
        <v>46100</v>
      </c>
      <c r="C194" t="s">
        <v>99</v>
      </c>
      <c r="D194" t="s">
        <v>59</v>
      </c>
      <c r="E194" t="s">
        <v>60</v>
      </c>
      <c r="F194" t="s">
        <v>18</v>
      </c>
      <c r="G194" t="s">
        <v>19</v>
      </c>
      <c r="H194" s="4">
        <v>2113</v>
      </c>
      <c r="I194" s="5">
        <v>103767.35</v>
      </c>
      <c r="J194" s="7" t="str">
        <f>IFERROR(VLOOKUP(C194, Master_Importer!$A:$B, 2, FALSE), "Unmapped Importer")</f>
        <v>PT Daya Fabrics</v>
      </c>
      <c r="K194" s="7" t="str">
        <f>VLOOKUP(E194,CountryMapTable[#All],2,FALSE)</f>
        <v>Switzerland</v>
      </c>
      <c r="L194" s="7">
        <f t="shared" si="10"/>
        <v>2026</v>
      </c>
      <c r="M194" s="7">
        <f t="shared" si="11"/>
        <v>3</v>
      </c>
      <c r="N194" s="12">
        <f>IFERROR(WorkAreaTable[[#This Row],[Import Value (USD)]]/WorkAreaTable[[#This Row],[Quantity (KG)]],0)</f>
        <v>49.109015617605301</v>
      </c>
      <c r="O194" s="16" t="str">
        <f>IF(COUNTIF(A:A, A194)&gt;1, "Duplicate ID", IF(H194=0, "Quantity 0", IF(ISNA(VLOOKUP(C194, Master_Importer!$A:$B, 2, FALSE)), "Unmapped Importer", "OK")))</f>
        <v>Duplicate ID</v>
      </c>
      <c r="P194" s="18"/>
      <c r="Q194" s="18"/>
    </row>
  </sheetData>
  <conditionalFormatting sqref="A2:A194">
    <cfRule type="duplicateValues" dxfId="8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I50"/>
  <sheetViews>
    <sheetView zoomScale="90" workbookViewId="0">
      <selection activeCell="C14" sqref="C14"/>
    </sheetView>
  </sheetViews>
  <sheetFormatPr defaultRowHeight="13.8"/>
  <cols>
    <col min="1" max="1" width="12" customWidth="1"/>
    <col min="2" max="2" width="28" customWidth="1"/>
    <col min="3" max="3" width="22" customWidth="1"/>
    <col min="4" max="4" width="20" customWidth="1"/>
    <col min="5" max="5" width="4" customWidth="1"/>
    <col min="6" max="6" width="12" customWidth="1"/>
    <col min="7" max="7" width="30" customWidth="1"/>
    <col min="8" max="8" width="22" customWidth="1"/>
    <col min="9" max="9" width="20" customWidth="1"/>
  </cols>
  <sheetData>
    <row r="1" spans="1:9">
      <c r="A1" s="27" t="s">
        <v>282</v>
      </c>
      <c r="B1" s="27"/>
      <c r="C1" s="27"/>
      <c r="D1" s="27"/>
      <c r="E1" s="27"/>
      <c r="F1" s="27"/>
      <c r="G1" s="27"/>
      <c r="H1" s="27"/>
      <c r="I1" s="1"/>
    </row>
    <row r="2" spans="1:9">
      <c r="A2" s="27"/>
      <c r="B2" s="27"/>
      <c r="C2" s="27"/>
      <c r="D2" s="27"/>
      <c r="E2" s="27"/>
      <c r="F2" s="27"/>
      <c r="G2" s="27"/>
      <c r="H2" s="27"/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23" t="s">
        <v>283</v>
      </c>
      <c r="B4" s="23"/>
      <c r="C4" s="23"/>
      <c r="D4" s="23"/>
      <c r="E4" s="1"/>
      <c r="F4" s="23" t="s">
        <v>284</v>
      </c>
      <c r="G4" s="23"/>
      <c r="H4" s="23"/>
      <c r="I4" s="23"/>
    </row>
    <row r="5" spans="1:9">
      <c r="A5" s="13" t="s">
        <v>278</v>
      </c>
      <c r="B5" s="13" t="s">
        <v>285</v>
      </c>
      <c r="C5" s="13" t="s">
        <v>286</v>
      </c>
      <c r="D5" s="13" t="s">
        <v>287</v>
      </c>
      <c r="E5" s="1"/>
      <c r="F5" s="13" t="s">
        <v>288</v>
      </c>
      <c r="G5" s="13" t="s">
        <v>3</v>
      </c>
      <c r="H5" s="13" t="s">
        <v>8</v>
      </c>
      <c r="I5" s="13" t="s">
        <v>7</v>
      </c>
    </row>
    <row r="6" spans="1:9">
      <c r="A6" s="14">
        <v>2024</v>
      </c>
      <c r="B6" s="8">
        <f>SUMIF(Clean!L:L,2024,Clean!I:I)</f>
        <v>5117138.54</v>
      </c>
      <c r="C6" s="15">
        <f>SUMIF(Clean!L:L,2024,Clean!H:H)</f>
        <v>101397</v>
      </c>
      <c r="D6" s="14"/>
      <c r="E6" s="1"/>
      <c r="F6" s="14">
        <v>1</v>
      </c>
      <c r="G6" s="20" t="s">
        <v>59</v>
      </c>
      <c r="H6" s="8">
        <f>SUMIFS(Clean!$I:$I, Clean!$D:$D, G6, Clean!$L:$L, 2026)</f>
        <v>375863.08999999997</v>
      </c>
      <c r="I6" s="9">
        <f>SUMIFS(Clean!$H:$H, Clean!$D:$D, G6, Clean!$L:$L, 2026)</f>
        <v>7138</v>
      </c>
    </row>
    <row r="7" spans="1:9">
      <c r="A7" s="14">
        <v>2025</v>
      </c>
      <c r="B7" s="8">
        <f>SUMIF(Clean!L:L,2025,Clean!I:I)</f>
        <v>5038674.080000001</v>
      </c>
      <c r="C7" s="15">
        <f>SUMIF(Clean!L:L,2025,Clean!H:H)</f>
        <v>106898</v>
      </c>
      <c r="D7" s="14"/>
      <c r="E7" s="1"/>
      <c r="F7" s="14">
        <v>2</v>
      </c>
      <c r="G7" s="20" t="s">
        <v>49</v>
      </c>
      <c r="H7" s="8">
        <f>SUMIFS(Clean!$I:$I, Clean!$D:$D, G7, Clean!$L:$L, 2026)</f>
        <v>296244.35000000003</v>
      </c>
      <c r="I7" s="9">
        <f>SUMIFS(Clean!$H:$H, Clean!$D:$D, G7, Clean!$L:$L, 2026)</f>
        <v>6837</v>
      </c>
    </row>
    <row r="8" spans="1:9" ht="28.8">
      <c r="A8" s="14">
        <v>2026</v>
      </c>
      <c r="B8" s="8">
        <f>SUMIF(Clean!L:L,2026,Clean!I:I)</f>
        <v>3467048.0900000008</v>
      </c>
      <c r="C8" s="15">
        <f>SUMIF(Clean!L:L,2026,Clean!H:H)</f>
        <v>70313</v>
      </c>
      <c r="D8" s="11" t="s">
        <v>289</v>
      </c>
      <c r="E8" s="1"/>
      <c r="F8" s="14">
        <v>3</v>
      </c>
      <c r="G8" s="20" t="s">
        <v>11</v>
      </c>
      <c r="H8" s="8">
        <f>SUMIFS(Clean!$I:$I, Clean!$D:$D, G8, Clean!$L:$L, 2026)</f>
        <v>586635.13</v>
      </c>
      <c r="I8" s="9">
        <f>SUMIFS(Clean!$H:$H, Clean!$D:$D, G8, Clean!$L:$L, 2026)</f>
        <v>13758</v>
      </c>
    </row>
    <row r="9" spans="1:9">
      <c r="A9" s="1"/>
      <c r="B9" s="1"/>
      <c r="C9" s="1"/>
      <c r="D9" s="1"/>
      <c r="E9" s="1"/>
      <c r="F9" s="14">
        <v>4</v>
      </c>
      <c r="G9" s="20" t="s">
        <v>17</v>
      </c>
      <c r="H9" s="8">
        <f>SUMIFS(Clean!$I:$I, Clean!$D:$D, G9, Clean!$L:$L, 2026)</f>
        <v>535936.16999999993</v>
      </c>
      <c r="I9" s="9">
        <f>SUMIFS(Clean!$H:$H, Clean!$D:$D, G9, Clean!$L:$L, 2026)</f>
        <v>9322</v>
      </c>
    </row>
    <row r="10" spans="1:9">
      <c r="A10" s="1"/>
      <c r="B10" s="1"/>
      <c r="C10" s="1"/>
      <c r="D10" s="1"/>
      <c r="E10" s="1"/>
      <c r="F10" s="14">
        <v>5</v>
      </c>
      <c r="G10" s="20" t="s">
        <v>67</v>
      </c>
      <c r="H10" s="8">
        <f>SUMIFS(Clean!$I:$I, Clean!$D:$D, G10, Clean!$L:$L, 2026)</f>
        <v>855540.58999999985</v>
      </c>
      <c r="I10" s="9">
        <f>SUMIFS(Clean!$H:$H, Clean!$D:$D, G10, Clean!$L:$L, 2026)</f>
        <v>14341</v>
      </c>
    </row>
    <row r="11" spans="1:9">
      <c r="A11" s="23" t="s">
        <v>290</v>
      </c>
      <c r="B11" s="23"/>
      <c r="C11" s="23"/>
      <c r="D11" s="23"/>
      <c r="E11" s="1"/>
      <c r="F11" s="1"/>
      <c r="G11" s="1"/>
      <c r="H11" s="1"/>
      <c r="I11" s="1"/>
    </row>
    <row r="12" spans="1:9">
      <c r="A12" s="13" t="s">
        <v>288</v>
      </c>
      <c r="B12" s="13" t="s">
        <v>258</v>
      </c>
      <c r="C12" s="13" t="s">
        <v>8</v>
      </c>
      <c r="D12" s="13" t="s">
        <v>291</v>
      </c>
      <c r="E12" s="1"/>
      <c r="F12" s="1"/>
      <c r="G12" s="1"/>
      <c r="H12" s="1"/>
      <c r="I12" s="1"/>
    </row>
    <row r="13" spans="1:9">
      <c r="A13" s="14">
        <v>1</v>
      </c>
      <c r="B13" s="21" t="s">
        <v>259</v>
      </c>
      <c r="C13" s="22">
        <f>SUMIFS(Clean!$I:$I, Clean!$J:$J, B13, Clean!$L:$L, 2026)</f>
        <v>680911.29</v>
      </c>
      <c r="D13" s="10">
        <f>C13 / $B$8</f>
        <v>0.19639510970844362</v>
      </c>
      <c r="E13" s="1"/>
      <c r="F13" s="1"/>
      <c r="G13" s="1"/>
      <c r="H13" s="1"/>
      <c r="I13" s="1"/>
    </row>
    <row r="14" spans="1:9">
      <c r="A14" s="14">
        <v>2</v>
      </c>
      <c r="B14" s="21" t="s">
        <v>260</v>
      </c>
      <c r="C14" s="22">
        <f>SUMIFS(Clean!$I:$I, Clean!$J:$J, B14, Clean!$L:$L, 2026)</f>
        <v>537289.3899999999</v>
      </c>
      <c r="D14" s="10">
        <f t="shared" ref="D14:D17" si="0">C14 / $B$8</f>
        <v>0.15497027328513341</v>
      </c>
      <c r="E14" s="1"/>
      <c r="F14" s="1"/>
      <c r="G14" s="1"/>
      <c r="H14" s="1"/>
      <c r="I14" s="1"/>
    </row>
    <row r="15" spans="1:9">
      <c r="A15" s="14">
        <v>3</v>
      </c>
      <c r="B15" s="21" t="s">
        <v>261</v>
      </c>
      <c r="C15" s="22">
        <f>SUMIFS(Clean!$I:$I, Clean!$J:$J, B15, Clean!$L:$L, 2026)</f>
        <v>789774.91999999993</v>
      </c>
      <c r="D15" s="10">
        <f t="shared" si="0"/>
        <v>0.22779462513887419</v>
      </c>
      <c r="E15" s="1"/>
      <c r="F15" s="1"/>
      <c r="G15" s="1"/>
      <c r="H15" s="1"/>
      <c r="I15" s="1"/>
    </row>
    <row r="16" spans="1:9">
      <c r="A16" s="14">
        <v>4</v>
      </c>
      <c r="B16" s="21" t="s">
        <v>265</v>
      </c>
      <c r="C16" s="22">
        <f>SUMIFS(Clean!$I:$I, Clean!$J:$J, B16, Clean!$L:$L, 2026)</f>
        <v>325790.08000000002</v>
      </c>
      <c r="D16" s="10">
        <f t="shared" si="0"/>
        <v>9.3967568820194802E-2</v>
      </c>
      <c r="E16" s="1"/>
      <c r="F16" s="1"/>
      <c r="G16" s="1"/>
      <c r="H16" s="1"/>
      <c r="I16" s="1"/>
    </row>
    <row r="17" spans="1:9">
      <c r="A17" s="14">
        <v>5</v>
      </c>
      <c r="B17" s="21" t="s">
        <v>266</v>
      </c>
      <c r="C17" s="22">
        <f>SUMIFS(Clean!$I:$I, Clean!$J:$J, B17, Clean!$L:$L, 2026)</f>
        <v>295010.59999999998</v>
      </c>
      <c r="D17" s="10">
        <f t="shared" si="0"/>
        <v>8.5089849445959057E-2</v>
      </c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23" t="s">
        <v>292</v>
      </c>
      <c r="B20" s="23"/>
      <c r="C20" s="23"/>
      <c r="D20" s="23"/>
      <c r="E20" s="23"/>
      <c r="F20" s="23"/>
      <c r="G20" s="23"/>
      <c r="H20" s="23"/>
      <c r="I20" s="23"/>
    </row>
    <row r="21" spans="1:9">
      <c r="A21" s="14" t="s">
        <v>293</v>
      </c>
      <c r="B21" s="25" t="s">
        <v>304</v>
      </c>
      <c r="C21" s="25"/>
      <c r="D21" s="25"/>
      <c r="E21" s="25"/>
      <c r="F21" s="25"/>
      <c r="G21" s="25"/>
      <c r="H21" s="25"/>
      <c r="I21" s="25"/>
    </row>
    <row r="22" spans="1:9">
      <c r="A22" s="14" t="s">
        <v>294</v>
      </c>
      <c r="B22" s="25" t="s">
        <v>305</v>
      </c>
      <c r="C22" s="25"/>
      <c r="D22" s="25"/>
      <c r="E22" s="25"/>
      <c r="F22" s="25"/>
      <c r="G22" s="25"/>
      <c r="H22" s="25"/>
      <c r="I22" s="25"/>
    </row>
    <row r="23" spans="1:9">
      <c r="A23" s="14" t="s">
        <v>295</v>
      </c>
      <c r="B23" s="25" t="s">
        <v>306</v>
      </c>
      <c r="C23" s="25"/>
      <c r="D23" s="25"/>
      <c r="E23" s="25"/>
      <c r="F23" s="25"/>
      <c r="G23" s="25"/>
      <c r="H23" s="25"/>
      <c r="I23" s="25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23" t="s">
        <v>296</v>
      </c>
      <c r="B26" s="23"/>
      <c r="C26" s="23"/>
      <c r="D26" s="23"/>
      <c r="E26" s="23"/>
      <c r="F26" s="23"/>
      <c r="G26" s="23"/>
      <c r="H26" s="23"/>
      <c r="I26" s="23"/>
    </row>
    <row r="27" spans="1:9">
      <c r="A27" s="26" t="s">
        <v>307</v>
      </c>
      <c r="B27" s="26"/>
      <c r="C27" s="26"/>
      <c r="D27" s="26"/>
      <c r="E27" s="26"/>
      <c r="F27" s="26"/>
      <c r="G27" s="26"/>
      <c r="H27" s="26"/>
      <c r="I27" s="26"/>
    </row>
    <row r="28" spans="1:9">
      <c r="A28" s="26"/>
      <c r="B28" s="26"/>
      <c r="C28" s="26"/>
      <c r="D28" s="26"/>
      <c r="E28" s="26"/>
      <c r="F28" s="26"/>
      <c r="G28" s="26"/>
      <c r="H28" s="26"/>
      <c r="I28" s="26"/>
    </row>
    <row r="29" spans="1:9">
      <c r="A29" s="26"/>
      <c r="B29" s="26"/>
      <c r="C29" s="26"/>
      <c r="D29" s="26"/>
      <c r="E29" s="26"/>
      <c r="F29" s="26"/>
      <c r="G29" s="26"/>
      <c r="H29" s="26"/>
      <c r="I29" s="26"/>
    </row>
    <row r="30" spans="1:9">
      <c r="A30" s="26"/>
      <c r="B30" s="26"/>
      <c r="C30" s="26"/>
      <c r="D30" s="26"/>
      <c r="E30" s="26"/>
      <c r="F30" s="26"/>
      <c r="G30" s="26"/>
      <c r="H30" s="26"/>
      <c r="I30" s="26"/>
    </row>
    <row r="31" spans="1:9">
      <c r="A31" s="26"/>
      <c r="B31" s="26"/>
      <c r="C31" s="26"/>
      <c r="D31" s="26"/>
      <c r="E31" s="26"/>
      <c r="F31" s="26"/>
      <c r="G31" s="26"/>
      <c r="H31" s="26"/>
      <c r="I31" s="26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23" t="s">
        <v>297</v>
      </c>
      <c r="B34" s="23"/>
      <c r="C34" s="23"/>
      <c r="D34" s="23"/>
      <c r="E34" s="23"/>
      <c r="F34" s="23"/>
      <c r="G34" s="23"/>
      <c r="H34" s="23"/>
      <c r="I34" s="23"/>
    </row>
    <row r="35" spans="1:9">
      <c r="A35" s="24" t="s">
        <v>298</v>
      </c>
      <c r="B35" s="24"/>
      <c r="C35" s="24"/>
      <c r="D35" s="24"/>
      <c r="E35" s="24"/>
      <c r="F35" s="24"/>
      <c r="G35" s="24"/>
      <c r="H35" s="24"/>
      <c r="I35" s="24"/>
    </row>
    <row r="36" spans="1:9">
      <c r="A36" s="24"/>
      <c r="B36" s="24"/>
      <c r="C36" s="24"/>
      <c r="D36" s="24"/>
      <c r="E36" s="24"/>
      <c r="F36" s="24"/>
      <c r="G36" s="24"/>
      <c r="H36" s="24"/>
      <c r="I36" s="24"/>
    </row>
    <row r="37" spans="1:9">
      <c r="A37" s="24"/>
      <c r="B37" s="24"/>
      <c r="C37" s="24"/>
      <c r="D37" s="24"/>
      <c r="E37" s="24"/>
      <c r="F37" s="24"/>
      <c r="G37" s="24"/>
      <c r="H37" s="24"/>
      <c r="I37" s="24"/>
    </row>
    <row r="38" spans="1:9">
      <c r="A38" s="24"/>
      <c r="B38" s="24"/>
      <c r="C38" s="24"/>
      <c r="D38" s="24"/>
      <c r="E38" s="24"/>
      <c r="F38" s="24"/>
      <c r="G38" s="24"/>
      <c r="H38" s="24"/>
      <c r="I38" s="24"/>
    </row>
    <row r="39" spans="1:9">
      <c r="A39" s="24"/>
      <c r="B39" s="24"/>
      <c r="C39" s="24"/>
      <c r="D39" s="24"/>
      <c r="E39" s="24"/>
      <c r="F39" s="24"/>
      <c r="G39" s="24"/>
      <c r="H39" s="24"/>
      <c r="I39" s="24"/>
    </row>
    <row r="40" spans="1:9">
      <c r="A40" s="24"/>
      <c r="B40" s="24"/>
      <c r="C40" s="24"/>
      <c r="D40" s="24"/>
      <c r="E40" s="24"/>
      <c r="F40" s="24"/>
      <c r="G40" s="24"/>
      <c r="H40" s="24"/>
      <c r="I40" s="24"/>
    </row>
    <row r="41" spans="1:9">
      <c r="A41" s="24"/>
      <c r="B41" s="24"/>
      <c r="C41" s="24"/>
      <c r="D41" s="24"/>
      <c r="E41" s="24"/>
      <c r="F41" s="24"/>
      <c r="G41" s="24"/>
      <c r="H41" s="24"/>
      <c r="I41" s="24"/>
    </row>
    <row r="42" spans="1:9">
      <c r="A42" s="24"/>
      <c r="B42" s="24"/>
      <c r="C42" s="24"/>
      <c r="D42" s="24"/>
      <c r="E42" s="24"/>
      <c r="F42" s="24"/>
      <c r="G42" s="24"/>
      <c r="H42" s="24"/>
      <c r="I42" s="24"/>
    </row>
    <row r="43" spans="1:9">
      <c r="A43" s="24"/>
      <c r="B43" s="24"/>
      <c r="C43" s="24"/>
      <c r="D43" s="24"/>
      <c r="E43" s="24"/>
      <c r="F43" s="24"/>
      <c r="G43" s="24"/>
      <c r="H43" s="24"/>
      <c r="I43" s="24"/>
    </row>
    <row r="44" spans="1:9">
      <c r="A44" s="24"/>
      <c r="B44" s="24"/>
      <c r="C44" s="24"/>
      <c r="D44" s="24"/>
      <c r="E44" s="24"/>
      <c r="F44" s="24"/>
      <c r="G44" s="24"/>
      <c r="H44" s="24"/>
      <c r="I44" s="24"/>
    </row>
    <row r="45" spans="1:9">
      <c r="A45" s="24"/>
      <c r="B45" s="24"/>
      <c r="C45" s="24"/>
      <c r="D45" s="24"/>
      <c r="E45" s="24"/>
      <c r="F45" s="24"/>
      <c r="G45" s="24"/>
      <c r="H45" s="24"/>
      <c r="I45" s="24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</sheetData>
  <mergeCells count="12">
    <mergeCell ref="A1:H2"/>
    <mergeCell ref="A4:D4"/>
    <mergeCell ref="A11:D11"/>
    <mergeCell ref="F4:I4"/>
    <mergeCell ref="A20:I20"/>
    <mergeCell ref="A34:I34"/>
    <mergeCell ref="A35:I45"/>
    <mergeCell ref="B21:I21"/>
    <mergeCell ref="B22:I22"/>
    <mergeCell ref="B23:I23"/>
    <mergeCell ref="A26:I26"/>
    <mergeCell ref="A27:I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AE5B-2332-4CF4-B96E-964DB0153A2F}">
  <dimension ref="A1:B9"/>
  <sheetViews>
    <sheetView workbookViewId="0">
      <selection activeCell="C16" sqref="C16"/>
    </sheetView>
  </sheetViews>
  <sheetFormatPr defaultRowHeight="13.8"/>
  <cols>
    <col min="1" max="1" width="21.3984375" bestFit="1" customWidth="1"/>
    <col min="2" max="3" width="24.59765625" bestFit="1" customWidth="1"/>
  </cols>
  <sheetData>
    <row r="1" spans="1:2">
      <c r="A1" s="19" t="s">
        <v>278</v>
      </c>
      <c r="B1" s="20">
        <v>2026</v>
      </c>
    </row>
    <row r="3" spans="1:2">
      <c r="A3" s="19" t="s">
        <v>301</v>
      </c>
      <c r="B3" t="s">
        <v>303</v>
      </c>
    </row>
    <row r="4" spans="1:2">
      <c r="A4" s="20" t="s">
        <v>59</v>
      </c>
      <c r="B4" s="18">
        <v>375863.08999999997</v>
      </c>
    </row>
    <row r="5" spans="1:2">
      <c r="A5" s="20" t="s">
        <v>49</v>
      </c>
      <c r="B5" s="18">
        <v>296244.35000000003</v>
      </c>
    </row>
    <row r="6" spans="1:2">
      <c r="A6" s="20" t="s">
        <v>11</v>
      </c>
      <c r="B6" s="18">
        <v>586635.13</v>
      </c>
    </row>
    <row r="7" spans="1:2">
      <c r="A7" s="20" t="s">
        <v>17</v>
      </c>
      <c r="B7" s="18">
        <v>535936.16999999993</v>
      </c>
    </row>
    <row r="8" spans="1:2">
      <c r="A8" s="20" t="s">
        <v>67</v>
      </c>
      <c r="B8" s="18">
        <v>855540.59</v>
      </c>
    </row>
    <row r="9" spans="1:2">
      <c r="A9" s="20" t="s">
        <v>302</v>
      </c>
      <c r="B9" s="18">
        <v>2650219.3299999996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6AB8-0827-4DAD-8E9D-58DCD2B828AB}">
  <dimension ref="A2:B10"/>
  <sheetViews>
    <sheetView workbookViewId="0">
      <selection activeCell="F8" sqref="F8"/>
    </sheetView>
  </sheetViews>
  <sheetFormatPr defaultRowHeight="13.8"/>
  <cols>
    <col min="1" max="1" width="18.19921875" bestFit="1" customWidth="1"/>
    <col min="2" max="2" width="24.59765625" bestFit="1" customWidth="1"/>
    <col min="3" max="3" width="11.69921875" bestFit="1" customWidth="1"/>
  </cols>
  <sheetData>
    <row r="2" spans="1:2">
      <c r="A2" s="19" t="s">
        <v>278</v>
      </c>
      <c r="B2" s="20">
        <v>2026</v>
      </c>
    </row>
    <row r="4" spans="1:2">
      <c r="A4" s="19" t="s">
        <v>301</v>
      </c>
      <c r="B4" t="s">
        <v>303</v>
      </c>
    </row>
    <row r="5" spans="1:2">
      <c r="A5" s="20" t="s">
        <v>259</v>
      </c>
      <c r="B5" s="18">
        <v>680911.2899999998</v>
      </c>
    </row>
    <row r="6" spans="1:2">
      <c r="A6" s="20" t="s">
        <v>260</v>
      </c>
      <c r="B6" s="18">
        <v>537289.39</v>
      </c>
    </row>
    <row r="7" spans="1:2">
      <c r="A7" s="20" t="s">
        <v>261</v>
      </c>
      <c r="B7" s="18">
        <v>789774.91999999993</v>
      </c>
    </row>
    <row r="8" spans="1:2">
      <c r="A8" s="20" t="s">
        <v>265</v>
      </c>
      <c r="B8" s="18">
        <v>325790.08000000002</v>
      </c>
    </row>
    <row r="9" spans="1:2">
      <c r="A9" s="20" t="s">
        <v>266</v>
      </c>
      <c r="B9" s="18">
        <v>295010.59999999998</v>
      </c>
    </row>
    <row r="10" spans="1:2">
      <c r="A10" s="20" t="s">
        <v>302</v>
      </c>
      <c r="B10" s="18">
        <v>2628776.2799999998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Master_Importer</vt:lpstr>
      <vt:lpstr>Master_Country</vt:lpstr>
      <vt:lpstr>Clean</vt:lpstr>
      <vt:lpstr>Output_Template</vt:lpstr>
      <vt:lpstr>top Exporter</vt:lpstr>
      <vt:lpstr>top Importer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2026-09-25T07:23:01Z</dcterms:created>
  <dcterms:modified xsi:type="dcterms:W3CDTF">2026-10-01T17:04:38Z</dcterms:modified>
  <cp:category/>
  <cp:contentStatus/>
</cp:coreProperties>
</file>